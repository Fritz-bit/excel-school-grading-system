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essment\2025-2026\JHS\J1\"/>
    </mc:Choice>
  </mc:AlternateContent>
  <xr:revisionPtr revIDLastSave="0" documentId="13_ncr:1_{5C488BD3-735F-4C9D-A351-BF509FEED9F3}" xr6:coauthVersionLast="47" xr6:coauthVersionMax="47" xr10:uidLastSave="{00000000-0000-0000-0000-000000000000}"/>
  <workbookProtection workbookAlgorithmName="SHA-512" workbookHashValue="3seYF39jzUKhYeFXao2c/K5KdkymoZsearLFSoe1/qTIjgzN2jsKvvDxzgUmuf77OmvJJYPVy+oUnoa+E3b2QA==" workbookSaltValue="RkzbUTOAOHU42QzeesH0rg==" workbookSpinCount="100000" lockStructure="1"/>
  <bookViews>
    <workbookView xWindow="-108" yWindow="-108" windowWidth="23256" windowHeight="13896" tabRatio="781" xr2:uid="{15A32964-B140-4356-A880-2CD16DBE4293}"/>
  </bookViews>
  <sheets>
    <sheet name="Term 1" sheetId="31" r:id="rId1"/>
    <sheet name="Term 2" sheetId="34" r:id="rId2"/>
    <sheet name="Term 3" sheetId="35" r:id="rId3"/>
  </sheets>
  <externalReferences>
    <externalReference r:id="rId4"/>
  </externalReferences>
  <definedNames>
    <definedName name="_xlnm._FilterDatabase" localSheetId="0" hidden="1">'Term 1'!$A$3:$Q$3</definedName>
    <definedName name="_xlnm._FilterDatabase" localSheetId="1" hidden="1">'Term 2'!$A$3:$Q$3</definedName>
    <definedName name="_xlnm._FilterDatabase" localSheetId="2" hidden="1">'Term 3'!$A$3:$Q$3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35" l="1"/>
  <c r="N5" i="35"/>
  <c r="N6" i="35"/>
  <c r="N7" i="35"/>
  <c r="N8" i="35"/>
  <c r="N9" i="35"/>
  <c r="N10" i="35"/>
  <c r="N11" i="35"/>
  <c r="N12" i="35"/>
  <c r="N13" i="35"/>
  <c r="N14" i="35"/>
  <c r="N15" i="35"/>
  <c r="N16" i="35"/>
  <c r="N17" i="35"/>
  <c r="N18" i="35"/>
  <c r="N19" i="35"/>
  <c r="N20" i="35"/>
  <c r="N21" i="35"/>
  <c r="N22" i="35"/>
  <c r="N23" i="35"/>
  <c r="N24" i="35"/>
  <c r="N25" i="35"/>
  <c r="N26" i="35"/>
  <c r="N27" i="35"/>
  <c r="N28" i="35"/>
  <c r="N29" i="35"/>
  <c r="N30" i="35"/>
  <c r="N31" i="35"/>
  <c r="N32" i="35"/>
  <c r="N33" i="35"/>
  <c r="N34" i="35"/>
  <c r="N35" i="35"/>
  <c r="N36" i="35"/>
  <c r="N37" i="35"/>
  <c r="N38" i="35"/>
  <c r="N39" i="35"/>
  <c r="N40" i="35"/>
  <c r="N41" i="35"/>
  <c r="N42" i="35"/>
  <c r="N43" i="35"/>
  <c r="N44" i="35"/>
  <c r="N45" i="35"/>
  <c r="N46" i="35"/>
  <c r="N47" i="35"/>
  <c r="N48" i="35"/>
  <c r="N49" i="35"/>
  <c r="N50" i="35"/>
  <c r="N51" i="35"/>
  <c r="N52" i="35"/>
  <c r="N53" i="35"/>
  <c r="N54" i="35"/>
  <c r="N55" i="35"/>
  <c r="N56" i="35"/>
  <c r="N57" i="35"/>
  <c r="N58" i="35"/>
  <c r="N59" i="35"/>
  <c r="N60" i="35"/>
  <c r="N61" i="35"/>
  <c r="N62" i="35"/>
  <c r="N63" i="35"/>
  <c r="N64" i="35"/>
  <c r="N65" i="35"/>
  <c r="N66" i="35"/>
  <c r="N67" i="35"/>
  <c r="N68" i="35"/>
  <c r="N69" i="35"/>
  <c r="N70" i="35"/>
  <c r="N71" i="35"/>
  <c r="N72" i="35"/>
  <c r="N73" i="35"/>
  <c r="N74" i="35"/>
  <c r="N75" i="35"/>
  <c r="N76" i="35"/>
  <c r="N77" i="35"/>
  <c r="N78" i="35"/>
  <c r="N79" i="35"/>
  <c r="N80" i="35"/>
  <c r="N81" i="35"/>
  <c r="N82" i="35"/>
  <c r="N83" i="35"/>
  <c r="N84" i="35"/>
  <c r="N85" i="35"/>
  <c r="N86" i="35"/>
  <c r="N87" i="35"/>
  <c r="N88" i="35"/>
  <c r="N89" i="35"/>
  <c r="N90" i="35"/>
  <c r="N91" i="35"/>
  <c r="N92" i="35"/>
  <c r="N93" i="35"/>
  <c r="N94" i="35"/>
  <c r="N95" i="35"/>
  <c r="N96" i="35"/>
  <c r="N97" i="35"/>
  <c r="N98" i="35"/>
  <c r="N99" i="35"/>
  <c r="N100" i="35"/>
  <c r="N101" i="35"/>
  <c r="N102" i="35"/>
  <c r="N103" i="35"/>
  <c r="N104" i="35"/>
  <c r="N4" i="34"/>
  <c r="N5" i="34"/>
  <c r="N6" i="34"/>
  <c r="N7" i="34"/>
  <c r="N8" i="34"/>
  <c r="N9" i="34"/>
  <c r="N10" i="34"/>
  <c r="N11" i="34"/>
  <c r="N12" i="34"/>
  <c r="N13" i="34"/>
  <c r="N14" i="34"/>
  <c r="N15" i="34"/>
  <c r="N16" i="34"/>
  <c r="N17" i="34"/>
  <c r="N18" i="34"/>
  <c r="N19" i="34"/>
  <c r="N20" i="34"/>
  <c r="N21" i="34"/>
  <c r="N22" i="34"/>
  <c r="N23" i="34"/>
  <c r="N24" i="34"/>
  <c r="N25" i="34"/>
  <c r="N26" i="34"/>
  <c r="N27" i="34"/>
  <c r="N28" i="34"/>
  <c r="N29" i="34"/>
  <c r="N30" i="34"/>
  <c r="N31" i="34"/>
  <c r="N32" i="34"/>
  <c r="N33" i="34"/>
  <c r="N34" i="34"/>
  <c r="N35" i="34"/>
  <c r="N36" i="34"/>
  <c r="N37" i="34"/>
  <c r="N38" i="34"/>
  <c r="N39" i="34"/>
  <c r="N40" i="34"/>
  <c r="N41" i="34"/>
  <c r="N42" i="34"/>
  <c r="N43" i="34"/>
  <c r="N44" i="34"/>
  <c r="N45" i="34"/>
  <c r="N46" i="34"/>
  <c r="N47" i="34"/>
  <c r="N48" i="34"/>
  <c r="N49" i="34"/>
  <c r="N50" i="34"/>
  <c r="N51" i="34"/>
  <c r="N52" i="34"/>
  <c r="N53" i="34"/>
  <c r="N54" i="34"/>
  <c r="N55" i="34"/>
  <c r="N56" i="34"/>
  <c r="N57" i="34"/>
  <c r="N58" i="34"/>
  <c r="N59" i="34"/>
  <c r="N60" i="34"/>
  <c r="N61" i="34"/>
  <c r="N62" i="34"/>
  <c r="N63" i="34"/>
  <c r="N64" i="34"/>
  <c r="N65" i="34"/>
  <c r="N66" i="34"/>
  <c r="N67" i="34"/>
  <c r="N68" i="34"/>
  <c r="N69" i="34"/>
  <c r="N70" i="34"/>
  <c r="N71" i="34"/>
  <c r="N72" i="34"/>
  <c r="N73" i="34"/>
  <c r="N74" i="34"/>
  <c r="N75" i="34"/>
  <c r="N76" i="34"/>
  <c r="N77" i="34"/>
  <c r="N78" i="34"/>
  <c r="N79" i="34"/>
  <c r="N80" i="34"/>
  <c r="N81" i="34"/>
  <c r="N82" i="34"/>
  <c r="N83" i="34"/>
  <c r="N84" i="34"/>
  <c r="N85" i="34"/>
  <c r="N86" i="34"/>
  <c r="N87" i="34"/>
  <c r="N88" i="34"/>
  <c r="N89" i="34"/>
  <c r="N90" i="34"/>
  <c r="N91" i="34"/>
  <c r="N92" i="34"/>
  <c r="N93" i="34"/>
  <c r="N94" i="34"/>
  <c r="N95" i="34"/>
  <c r="N96" i="34"/>
  <c r="N97" i="34"/>
  <c r="N98" i="34"/>
  <c r="N99" i="34"/>
  <c r="N100" i="34"/>
  <c r="N101" i="34"/>
  <c r="N102" i="34"/>
  <c r="N103" i="34"/>
  <c r="N104" i="34"/>
  <c r="N4" i="31"/>
  <c r="N6" i="31"/>
  <c r="N7" i="31"/>
  <c r="N8" i="31"/>
  <c r="N9" i="31"/>
  <c r="N10" i="31"/>
  <c r="N11" i="31"/>
  <c r="N12" i="31"/>
  <c r="N13" i="31"/>
  <c r="N14" i="31"/>
  <c r="N15" i="31"/>
  <c r="N16" i="31"/>
  <c r="N17" i="31"/>
  <c r="N18" i="31"/>
  <c r="N19" i="31"/>
  <c r="N20" i="31"/>
  <c r="N21" i="31"/>
  <c r="N22" i="31"/>
  <c r="N23" i="31"/>
  <c r="N24" i="31"/>
  <c r="N25" i="31"/>
  <c r="N26" i="31"/>
  <c r="N27" i="31"/>
  <c r="N28" i="31"/>
  <c r="N29" i="31"/>
  <c r="N30" i="31"/>
  <c r="N31" i="31"/>
  <c r="N32" i="31"/>
  <c r="N33" i="31"/>
  <c r="N34" i="31"/>
  <c r="N35" i="31"/>
  <c r="N36" i="31"/>
  <c r="N37" i="31"/>
  <c r="N38" i="31"/>
  <c r="N39" i="31"/>
  <c r="N40" i="31"/>
  <c r="N41" i="31"/>
  <c r="N42" i="31"/>
  <c r="N43" i="31"/>
  <c r="N44" i="31"/>
  <c r="N45" i="31"/>
  <c r="N46" i="31"/>
  <c r="N47" i="31"/>
  <c r="N48" i="31"/>
  <c r="N49" i="31"/>
  <c r="N50" i="31"/>
  <c r="N51" i="31"/>
  <c r="N52" i="31"/>
  <c r="N53" i="31"/>
  <c r="N54" i="31"/>
  <c r="N55" i="31"/>
  <c r="N56" i="31"/>
  <c r="N57" i="31"/>
  <c r="N58" i="31"/>
  <c r="N59" i="31"/>
  <c r="N60" i="31"/>
  <c r="N61" i="31"/>
  <c r="N62" i="31"/>
  <c r="N63" i="31"/>
  <c r="N64" i="31"/>
  <c r="N65" i="31"/>
  <c r="N66" i="31"/>
  <c r="N67" i="31"/>
  <c r="N68" i="31"/>
  <c r="N69" i="31"/>
  <c r="N70" i="31"/>
  <c r="N71" i="31"/>
  <c r="N72" i="31"/>
  <c r="N73" i="31"/>
  <c r="N74" i="31"/>
  <c r="N75" i="31"/>
  <c r="N76" i="31"/>
  <c r="N77" i="31"/>
  <c r="N78" i="31"/>
  <c r="N79" i="31"/>
  <c r="N80" i="31"/>
  <c r="N81" i="31"/>
  <c r="N82" i="31"/>
  <c r="N83" i="31"/>
  <c r="N84" i="31"/>
  <c r="N85" i="31"/>
  <c r="N86" i="31"/>
  <c r="N87" i="31"/>
  <c r="N88" i="31"/>
  <c r="N89" i="31"/>
  <c r="N90" i="31"/>
  <c r="N91" i="31"/>
  <c r="N92" i="31"/>
  <c r="N93" i="31"/>
  <c r="N94" i="31"/>
  <c r="N95" i="31"/>
  <c r="N96" i="31"/>
  <c r="N97" i="31"/>
  <c r="N98" i="31"/>
  <c r="N99" i="31"/>
  <c r="N100" i="31"/>
  <c r="N101" i="31"/>
  <c r="N102" i="31"/>
  <c r="N103" i="31"/>
  <c r="N104" i="31"/>
  <c r="B104" i="35"/>
  <c r="B103" i="35"/>
  <c r="B102" i="35"/>
  <c r="B101" i="35"/>
  <c r="B100" i="35"/>
  <c r="B99" i="35"/>
  <c r="B98" i="35"/>
  <c r="B97" i="35"/>
  <c r="B96" i="35"/>
  <c r="B95" i="35"/>
  <c r="B94" i="35"/>
  <c r="B93" i="35"/>
  <c r="B92" i="35"/>
  <c r="B91" i="35"/>
  <c r="B90" i="35"/>
  <c r="B89" i="35"/>
  <c r="B88" i="35"/>
  <c r="B87" i="35"/>
  <c r="B86" i="35"/>
  <c r="B85" i="35"/>
  <c r="B84" i="35"/>
  <c r="B83" i="35"/>
  <c r="B82" i="35"/>
  <c r="B81" i="35"/>
  <c r="B80" i="35"/>
  <c r="B79" i="35"/>
  <c r="B78" i="35"/>
  <c r="B77" i="35"/>
  <c r="B76" i="35"/>
  <c r="B75" i="35"/>
  <c r="B74" i="35"/>
  <c r="B73" i="35"/>
  <c r="B72" i="35"/>
  <c r="B71" i="35"/>
  <c r="B70" i="35"/>
  <c r="B69" i="35"/>
  <c r="B68" i="35"/>
  <c r="B67" i="35"/>
  <c r="B66" i="35"/>
  <c r="B65" i="35"/>
  <c r="B64" i="35"/>
  <c r="B63" i="35"/>
  <c r="B62" i="35"/>
  <c r="B61" i="35"/>
  <c r="B60" i="35"/>
  <c r="B59" i="35"/>
  <c r="B58" i="35"/>
  <c r="B57" i="35"/>
  <c r="B56" i="35"/>
  <c r="B55" i="35"/>
  <c r="B54" i="35"/>
  <c r="B53" i="35"/>
  <c r="B52" i="35"/>
  <c r="B51" i="35"/>
  <c r="B50" i="35"/>
  <c r="B49" i="35"/>
  <c r="B48" i="35"/>
  <c r="B47" i="35"/>
  <c r="B46" i="35"/>
  <c r="B45" i="35"/>
  <c r="B44" i="35"/>
  <c r="B43" i="35"/>
  <c r="B42" i="35"/>
  <c r="B41" i="35"/>
  <c r="B40" i="35"/>
  <c r="B39" i="35"/>
  <c r="B38" i="35"/>
  <c r="B37" i="35"/>
  <c r="B36" i="35"/>
  <c r="B35" i="35"/>
  <c r="B34" i="35"/>
  <c r="B33" i="35"/>
  <c r="B32" i="35"/>
  <c r="B31" i="35"/>
  <c r="B30" i="35"/>
  <c r="B29" i="35"/>
  <c r="B28" i="35"/>
  <c r="B27" i="35"/>
  <c r="B26" i="35"/>
  <c r="B25" i="35"/>
  <c r="B24" i="35"/>
  <c r="B23" i="35"/>
  <c r="B22" i="35"/>
  <c r="B21" i="35"/>
  <c r="B20" i="35"/>
  <c r="B19" i="35"/>
  <c r="B18" i="35"/>
  <c r="B17" i="35"/>
  <c r="B16" i="35"/>
  <c r="B15" i="35"/>
  <c r="B14" i="35"/>
  <c r="B13" i="35"/>
  <c r="B12" i="35"/>
  <c r="B11" i="35"/>
  <c r="B10" i="35"/>
  <c r="B9" i="35"/>
  <c r="B8" i="35"/>
  <c r="B7" i="35"/>
  <c r="B6" i="35"/>
  <c r="B5" i="35"/>
  <c r="B104" i="34" l="1"/>
  <c r="B103" i="34"/>
  <c r="B102" i="34"/>
  <c r="B101" i="34"/>
  <c r="B100" i="34"/>
  <c r="B99" i="34"/>
  <c r="B98" i="34"/>
  <c r="B97" i="34"/>
  <c r="B96" i="34"/>
  <c r="B95" i="34"/>
  <c r="B94" i="34"/>
  <c r="B93" i="34"/>
  <c r="B92" i="34"/>
  <c r="B91" i="34"/>
  <c r="B90" i="34"/>
  <c r="B89" i="34"/>
  <c r="B88" i="34"/>
  <c r="B87" i="34"/>
  <c r="B86" i="34"/>
  <c r="B85" i="34"/>
  <c r="B84" i="34"/>
  <c r="B83" i="34"/>
  <c r="B82" i="34"/>
  <c r="B81" i="34"/>
  <c r="B80" i="34"/>
  <c r="B79" i="34"/>
  <c r="B78" i="34"/>
  <c r="B77" i="34"/>
  <c r="B76" i="34"/>
  <c r="B75" i="34"/>
  <c r="B74" i="34"/>
  <c r="B73" i="34"/>
  <c r="B72" i="34"/>
  <c r="B71" i="34"/>
  <c r="B70" i="34"/>
  <c r="B69" i="34"/>
  <c r="B68" i="34"/>
  <c r="B67" i="34"/>
  <c r="B66" i="34"/>
  <c r="B65" i="34"/>
  <c r="B64" i="34"/>
  <c r="B63" i="34"/>
  <c r="B62" i="34"/>
  <c r="B61" i="34"/>
  <c r="B60" i="34"/>
  <c r="B59" i="34"/>
  <c r="B58" i="34"/>
  <c r="B57" i="34"/>
  <c r="B56" i="34"/>
  <c r="B55" i="34"/>
  <c r="B54" i="34"/>
  <c r="B53" i="34"/>
  <c r="B52" i="34"/>
  <c r="B51" i="34"/>
  <c r="B50" i="34"/>
  <c r="B49" i="34"/>
  <c r="B48" i="34"/>
  <c r="B47" i="34"/>
  <c r="B46" i="34"/>
  <c r="B45" i="34"/>
  <c r="B44" i="34"/>
  <c r="B43" i="34"/>
  <c r="B42" i="34"/>
  <c r="B41" i="34"/>
  <c r="B40" i="34"/>
  <c r="B39" i="34"/>
  <c r="B38" i="34"/>
  <c r="B37" i="34"/>
  <c r="B36" i="34"/>
  <c r="B35" i="34"/>
  <c r="B34" i="34"/>
  <c r="B33" i="34"/>
  <c r="B32" i="34"/>
  <c r="B31" i="34"/>
  <c r="B30" i="34"/>
  <c r="B29" i="34"/>
  <c r="B28" i="34"/>
  <c r="B27" i="34"/>
  <c r="B26" i="34"/>
  <c r="B25" i="34"/>
  <c r="B24" i="34"/>
  <c r="B23" i="34"/>
  <c r="B22" i="34"/>
  <c r="B21" i="34"/>
  <c r="B20" i="34"/>
  <c r="B19" i="34"/>
  <c r="B18" i="34"/>
  <c r="B17" i="34"/>
  <c r="B16" i="34"/>
  <c r="B15" i="34"/>
  <c r="B14" i="34"/>
  <c r="B13" i="34"/>
  <c r="B12" i="34"/>
  <c r="B11" i="34"/>
  <c r="B10" i="34"/>
  <c r="B9" i="34"/>
  <c r="B8" i="34"/>
  <c r="B7" i="34"/>
  <c r="B6" i="34"/>
  <c r="B5" i="34"/>
  <c r="P104" i="35"/>
  <c r="M104" i="35"/>
  <c r="Q104" i="35" s="1"/>
  <c r="P103" i="35"/>
  <c r="M103" i="35"/>
  <c r="Q103" i="35" s="1"/>
  <c r="P102" i="35"/>
  <c r="M102" i="35"/>
  <c r="P101" i="35"/>
  <c r="M101" i="35"/>
  <c r="P100" i="35"/>
  <c r="M100" i="35"/>
  <c r="Q100" i="35" s="1"/>
  <c r="P99" i="35"/>
  <c r="M99" i="35"/>
  <c r="Q99" i="35" s="1"/>
  <c r="P98" i="35"/>
  <c r="M98" i="35"/>
  <c r="Q98" i="35" s="1"/>
  <c r="P97" i="35"/>
  <c r="M97" i="35"/>
  <c r="Q97" i="35" s="1"/>
  <c r="P96" i="35"/>
  <c r="M96" i="35"/>
  <c r="Q96" i="35" s="1"/>
  <c r="P95" i="35"/>
  <c r="M95" i="35"/>
  <c r="Q95" i="35" s="1"/>
  <c r="P94" i="35"/>
  <c r="M94" i="35"/>
  <c r="P93" i="35"/>
  <c r="M93" i="35"/>
  <c r="P92" i="35"/>
  <c r="M92" i="35"/>
  <c r="Q92" i="35" s="1"/>
  <c r="P91" i="35"/>
  <c r="M91" i="35"/>
  <c r="Q91" i="35" s="1"/>
  <c r="P90" i="35"/>
  <c r="M90" i="35"/>
  <c r="Q90" i="35" s="1"/>
  <c r="P89" i="35"/>
  <c r="M89" i="35"/>
  <c r="Q89" i="35" s="1"/>
  <c r="P88" i="35"/>
  <c r="M88" i="35"/>
  <c r="Q88" i="35" s="1"/>
  <c r="P87" i="35"/>
  <c r="M87" i="35"/>
  <c r="Q87" i="35" s="1"/>
  <c r="P86" i="35"/>
  <c r="M86" i="35"/>
  <c r="P85" i="35"/>
  <c r="M85" i="35"/>
  <c r="P84" i="35"/>
  <c r="M84" i="35"/>
  <c r="Q84" i="35" s="1"/>
  <c r="P83" i="35"/>
  <c r="M83" i="35"/>
  <c r="Q83" i="35" s="1"/>
  <c r="P82" i="35"/>
  <c r="M82" i="35"/>
  <c r="Q82" i="35" s="1"/>
  <c r="P81" i="35"/>
  <c r="M81" i="35"/>
  <c r="Q81" i="35" s="1"/>
  <c r="P80" i="35"/>
  <c r="M80" i="35"/>
  <c r="Q80" i="35" s="1"/>
  <c r="P79" i="35"/>
  <c r="M79" i="35"/>
  <c r="Q79" i="35" s="1"/>
  <c r="P78" i="35"/>
  <c r="M78" i="35"/>
  <c r="P77" i="35"/>
  <c r="M77" i="35"/>
  <c r="P76" i="35"/>
  <c r="M76" i="35"/>
  <c r="Q76" i="35" s="1"/>
  <c r="P75" i="35"/>
  <c r="M75" i="35"/>
  <c r="Q75" i="35" s="1"/>
  <c r="P74" i="35"/>
  <c r="M74" i="35"/>
  <c r="Q74" i="35" s="1"/>
  <c r="P73" i="35"/>
  <c r="M73" i="35"/>
  <c r="Q73" i="35" s="1"/>
  <c r="P72" i="35"/>
  <c r="M72" i="35"/>
  <c r="Q72" i="35" s="1"/>
  <c r="P71" i="35"/>
  <c r="M71" i="35"/>
  <c r="Q71" i="35" s="1"/>
  <c r="P70" i="35"/>
  <c r="M70" i="35"/>
  <c r="P69" i="35"/>
  <c r="M69" i="35"/>
  <c r="P68" i="35"/>
  <c r="M68" i="35"/>
  <c r="Q68" i="35" s="1"/>
  <c r="P67" i="35"/>
  <c r="M67" i="35"/>
  <c r="Q67" i="35" s="1"/>
  <c r="P66" i="35"/>
  <c r="M66" i="35"/>
  <c r="Q66" i="35" s="1"/>
  <c r="P65" i="35"/>
  <c r="M65" i="35"/>
  <c r="Q65" i="35" s="1"/>
  <c r="P64" i="35"/>
  <c r="M64" i="35"/>
  <c r="Q64" i="35" s="1"/>
  <c r="P63" i="35"/>
  <c r="M63" i="35"/>
  <c r="Q63" i="35" s="1"/>
  <c r="P62" i="35"/>
  <c r="M62" i="35"/>
  <c r="P61" i="35"/>
  <c r="M61" i="35"/>
  <c r="P60" i="35"/>
  <c r="M60" i="35"/>
  <c r="Q60" i="35" s="1"/>
  <c r="P59" i="35"/>
  <c r="M59" i="35"/>
  <c r="Q59" i="35" s="1"/>
  <c r="P58" i="35"/>
  <c r="M58" i="35"/>
  <c r="Q58" i="35" s="1"/>
  <c r="P57" i="35"/>
  <c r="M57" i="35"/>
  <c r="Q57" i="35" s="1"/>
  <c r="P56" i="35"/>
  <c r="M56" i="35"/>
  <c r="Q56" i="35" s="1"/>
  <c r="P55" i="35"/>
  <c r="M55" i="35"/>
  <c r="Q55" i="35" s="1"/>
  <c r="P54" i="35"/>
  <c r="M54" i="35"/>
  <c r="P53" i="35"/>
  <c r="M53" i="35"/>
  <c r="P52" i="35"/>
  <c r="M52" i="35"/>
  <c r="Q52" i="35" s="1"/>
  <c r="P51" i="35"/>
  <c r="M51" i="35"/>
  <c r="Q51" i="35" s="1"/>
  <c r="P50" i="35"/>
  <c r="M50" i="35"/>
  <c r="Q50" i="35" s="1"/>
  <c r="P49" i="35"/>
  <c r="M49" i="35"/>
  <c r="Q49" i="35" s="1"/>
  <c r="P48" i="35"/>
  <c r="M48" i="35"/>
  <c r="Q48" i="35" s="1"/>
  <c r="P47" i="35"/>
  <c r="M47" i="35"/>
  <c r="Q47" i="35" s="1"/>
  <c r="P46" i="35"/>
  <c r="M46" i="35"/>
  <c r="P45" i="35"/>
  <c r="M45" i="35"/>
  <c r="P44" i="35"/>
  <c r="M44" i="35"/>
  <c r="Q44" i="35" s="1"/>
  <c r="P43" i="35"/>
  <c r="M43" i="35"/>
  <c r="Q43" i="35" s="1"/>
  <c r="P42" i="35"/>
  <c r="M42" i="35"/>
  <c r="Q42" i="35" s="1"/>
  <c r="P41" i="35"/>
  <c r="M41" i="35"/>
  <c r="Q41" i="35" s="1"/>
  <c r="P40" i="35"/>
  <c r="M40" i="35"/>
  <c r="Q40" i="35" s="1"/>
  <c r="P39" i="35"/>
  <c r="M39" i="35"/>
  <c r="Q39" i="35" s="1"/>
  <c r="P38" i="35"/>
  <c r="M38" i="35"/>
  <c r="P37" i="35"/>
  <c r="M37" i="35"/>
  <c r="P36" i="35"/>
  <c r="M36" i="35"/>
  <c r="Q36" i="35" s="1"/>
  <c r="P35" i="35"/>
  <c r="M35" i="35"/>
  <c r="Q35" i="35" s="1"/>
  <c r="P34" i="35"/>
  <c r="M34" i="35"/>
  <c r="Q34" i="35" s="1"/>
  <c r="P33" i="35"/>
  <c r="M33" i="35"/>
  <c r="Q33" i="35" s="1"/>
  <c r="P32" i="35"/>
  <c r="M32" i="35"/>
  <c r="Q32" i="35" s="1"/>
  <c r="P31" i="35"/>
  <c r="M31" i="35"/>
  <c r="Q31" i="35" s="1"/>
  <c r="P30" i="35"/>
  <c r="M30" i="35"/>
  <c r="P29" i="35"/>
  <c r="M29" i="35"/>
  <c r="P28" i="35"/>
  <c r="M28" i="35"/>
  <c r="Q28" i="35" s="1"/>
  <c r="P27" i="35"/>
  <c r="M27" i="35"/>
  <c r="Q27" i="35" s="1"/>
  <c r="P26" i="35"/>
  <c r="M26" i="35"/>
  <c r="Q26" i="35" s="1"/>
  <c r="P25" i="35"/>
  <c r="M25" i="35"/>
  <c r="Q25" i="35" s="1"/>
  <c r="P24" i="35"/>
  <c r="M24" i="35"/>
  <c r="Q24" i="35" s="1"/>
  <c r="P23" i="35"/>
  <c r="M23" i="35"/>
  <c r="Q23" i="35" s="1"/>
  <c r="P22" i="35"/>
  <c r="M22" i="35"/>
  <c r="P21" i="35"/>
  <c r="M21" i="35"/>
  <c r="P20" i="35"/>
  <c r="M20" i="35"/>
  <c r="Q20" i="35" s="1"/>
  <c r="P19" i="35"/>
  <c r="M19" i="35"/>
  <c r="Q19" i="35" s="1"/>
  <c r="P18" i="35"/>
  <c r="M18" i="35"/>
  <c r="Q18" i="35" s="1"/>
  <c r="P17" i="35"/>
  <c r="M17" i="35"/>
  <c r="Q17" i="35" s="1"/>
  <c r="P16" i="35"/>
  <c r="M16" i="35"/>
  <c r="Q16" i="35" s="1"/>
  <c r="P15" i="35"/>
  <c r="M15" i="35"/>
  <c r="Q15" i="35" s="1"/>
  <c r="P14" i="35"/>
  <c r="M14" i="35"/>
  <c r="P13" i="35"/>
  <c r="M13" i="35"/>
  <c r="P12" i="35"/>
  <c r="M12" i="35"/>
  <c r="Q12" i="35" s="1"/>
  <c r="P11" i="35"/>
  <c r="M11" i="35"/>
  <c r="Q11" i="35" s="1"/>
  <c r="P10" i="35"/>
  <c r="M10" i="35"/>
  <c r="P9" i="35"/>
  <c r="M9" i="35"/>
  <c r="Q9" i="35" s="1"/>
  <c r="P8" i="35"/>
  <c r="M8" i="35"/>
  <c r="Q8" i="35" s="1"/>
  <c r="P7" i="35"/>
  <c r="M7" i="35"/>
  <c r="Q7" i="35" s="1"/>
  <c r="P6" i="35"/>
  <c r="M6" i="35"/>
  <c r="P5" i="35"/>
  <c r="M5" i="35"/>
  <c r="P4" i="35"/>
  <c r="M4" i="35"/>
  <c r="Q4" i="35" s="1"/>
  <c r="P104" i="34"/>
  <c r="M104" i="34"/>
  <c r="Q104" i="34" s="1"/>
  <c r="P103" i="34"/>
  <c r="M103" i="34"/>
  <c r="Q103" i="34" s="1"/>
  <c r="P102" i="34"/>
  <c r="M102" i="34"/>
  <c r="Q102" i="34" s="1"/>
  <c r="P101" i="34"/>
  <c r="M101" i="34"/>
  <c r="Q101" i="34" s="1"/>
  <c r="P100" i="34"/>
  <c r="M100" i="34"/>
  <c r="Q100" i="34" s="1"/>
  <c r="P99" i="34"/>
  <c r="M99" i="34"/>
  <c r="Q99" i="34" s="1"/>
  <c r="P98" i="34"/>
  <c r="M98" i="34"/>
  <c r="Q98" i="34" s="1"/>
  <c r="P97" i="34"/>
  <c r="M97" i="34"/>
  <c r="Q97" i="34" s="1"/>
  <c r="P96" i="34"/>
  <c r="M96" i="34"/>
  <c r="Q96" i="34" s="1"/>
  <c r="P95" i="34"/>
  <c r="M95" i="34"/>
  <c r="Q95" i="34" s="1"/>
  <c r="P94" i="34"/>
  <c r="M94" i="34"/>
  <c r="Q94" i="34" s="1"/>
  <c r="P93" i="34"/>
  <c r="M93" i="34"/>
  <c r="Q93" i="34" s="1"/>
  <c r="P92" i="34"/>
  <c r="M92" i="34"/>
  <c r="Q92" i="34" s="1"/>
  <c r="P91" i="34"/>
  <c r="M91" i="34"/>
  <c r="Q91" i="34" s="1"/>
  <c r="P90" i="34"/>
  <c r="M90" i="34"/>
  <c r="Q90" i="34" s="1"/>
  <c r="P89" i="34"/>
  <c r="M89" i="34"/>
  <c r="Q89" i="34" s="1"/>
  <c r="P88" i="34"/>
  <c r="M88" i="34"/>
  <c r="Q88" i="34" s="1"/>
  <c r="P87" i="34"/>
  <c r="M87" i="34"/>
  <c r="Q87" i="34" s="1"/>
  <c r="P86" i="34"/>
  <c r="M86" i="34"/>
  <c r="Q86" i="34" s="1"/>
  <c r="P85" i="34"/>
  <c r="M85" i="34"/>
  <c r="Q85" i="34" s="1"/>
  <c r="P84" i="34"/>
  <c r="M84" i="34"/>
  <c r="Q84" i="34" s="1"/>
  <c r="P83" i="34"/>
  <c r="M83" i="34"/>
  <c r="Q83" i="34" s="1"/>
  <c r="P82" i="34"/>
  <c r="M82" i="34"/>
  <c r="Q82" i="34" s="1"/>
  <c r="P81" i="34"/>
  <c r="M81" i="34"/>
  <c r="Q81" i="34" s="1"/>
  <c r="P80" i="34"/>
  <c r="M80" i="34"/>
  <c r="Q80" i="34" s="1"/>
  <c r="P79" i="34"/>
  <c r="M79" i="34"/>
  <c r="Q79" i="34" s="1"/>
  <c r="P78" i="34"/>
  <c r="M78" i="34"/>
  <c r="Q78" i="34" s="1"/>
  <c r="P77" i="34"/>
  <c r="M77" i="34"/>
  <c r="Q77" i="34" s="1"/>
  <c r="P76" i="34"/>
  <c r="M76" i="34"/>
  <c r="Q76" i="34" s="1"/>
  <c r="P75" i="34"/>
  <c r="M75" i="34"/>
  <c r="Q75" i="34" s="1"/>
  <c r="P74" i="34"/>
  <c r="M74" i="34"/>
  <c r="Q74" i="34" s="1"/>
  <c r="P73" i="34"/>
  <c r="M73" i="34"/>
  <c r="Q73" i="34" s="1"/>
  <c r="P72" i="34"/>
  <c r="M72" i="34"/>
  <c r="Q72" i="34" s="1"/>
  <c r="P71" i="34"/>
  <c r="M71" i="34"/>
  <c r="Q71" i="34" s="1"/>
  <c r="P70" i="34"/>
  <c r="M70" i="34"/>
  <c r="Q70" i="34" s="1"/>
  <c r="P69" i="34"/>
  <c r="M69" i="34"/>
  <c r="Q69" i="34" s="1"/>
  <c r="P68" i="34"/>
  <c r="M68" i="34"/>
  <c r="Q68" i="34" s="1"/>
  <c r="P67" i="34"/>
  <c r="M67" i="34"/>
  <c r="Q67" i="34" s="1"/>
  <c r="P66" i="34"/>
  <c r="M66" i="34"/>
  <c r="Q66" i="34" s="1"/>
  <c r="P65" i="34"/>
  <c r="M65" i="34"/>
  <c r="Q65" i="34" s="1"/>
  <c r="P64" i="34"/>
  <c r="M64" i="34"/>
  <c r="Q64" i="34" s="1"/>
  <c r="P63" i="34"/>
  <c r="M63" i="34"/>
  <c r="Q63" i="34" s="1"/>
  <c r="P62" i="34"/>
  <c r="M62" i="34"/>
  <c r="Q62" i="34" s="1"/>
  <c r="P61" i="34"/>
  <c r="M61" i="34"/>
  <c r="Q61" i="34" s="1"/>
  <c r="P60" i="34"/>
  <c r="M60" i="34"/>
  <c r="Q60" i="34" s="1"/>
  <c r="P59" i="34"/>
  <c r="M59" i="34"/>
  <c r="Q59" i="34" s="1"/>
  <c r="P58" i="34"/>
  <c r="M58" i="34"/>
  <c r="Q58" i="34" s="1"/>
  <c r="P57" i="34"/>
  <c r="M57" i="34"/>
  <c r="Q57" i="34" s="1"/>
  <c r="P56" i="34"/>
  <c r="M56" i="34"/>
  <c r="Q56" i="34" s="1"/>
  <c r="P55" i="34"/>
  <c r="M55" i="34"/>
  <c r="Q55" i="34" s="1"/>
  <c r="P54" i="34"/>
  <c r="M54" i="34"/>
  <c r="Q54" i="34" s="1"/>
  <c r="P53" i="34"/>
  <c r="M53" i="34"/>
  <c r="Q53" i="34" s="1"/>
  <c r="P52" i="34"/>
  <c r="M52" i="34"/>
  <c r="Q52" i="34" s="1"/>
  <c r="P51" i="34"/>
  <c r="M51" i="34"/>
  <c r="Q51" i="34" s="1"/>
  <c r="P50" i="34"/>
  <c r="M50" i="34"/>
  <c r="Q50" i="34" s="1"/>
  <c r="P49" i="34"/>
  <c r="M49" i="34"/>
  <c r="Q49" i="34" s="1"/>
  <c r="P48" i="34"/>
  <c r="M48" i="34"/>
  <c r="Q48" i="34" s="1"/>
  <c r="P47" i="34"/>
  <c r="M47" i="34"/>
  <c r="Q47" i="34" s="1"/>
  <c r="P46" i="34"/>
  <c r="M46" i="34"/>
  <c r="Q46" i="34" s="1"/>
  <c r="P45" i="34"/>
  <c r="M45" i="34"/>
  <c r="Q45" i="34" s="1"/>
  <c r="P44" i="34"/>
  <c r="M44" i="34"/>
  <c r="Q44" i="34" s="1"/>
  <c r="P43" i="34"/>
  <c r="M43" i="34"/>
  <c r="Q43" i="34" s="1"/>
  <c r="P42" i="34"/>
  <c r="M42" i="34"/>
  <c r="Q42" i="34" s="1"/>
  <c r="P41" i="34"/>
  <c r="M41" i="34"/>
  <c r="Q41" i="34" s="1"/>
  <c r="P40" i="34"/>
  <c r="M40" i="34"/>
  <c r="Q40" i="34" s="1"/>
  <c r="P39" i="34"/>
  <c r="M39" i="34"/>
  <c r="Q39" i="34" s="1"/>
  <c r="P38" i="34"/>
  <c r="M38" i="34"/>
  <c r="Q38" i="34" s="1"/>
  <c r="P37" i="34"/>
  <c r="M37" i="34"/>
  <c r="Q37" i="34" s="1"/>
  <c r="P36" i="34"/>
  <c r="M36" i="34"/>
  <c r="Q36" i="34" s="1"/>
  <c r="P35" i="34"/>
  <c r="M35" i="34"/>
  <c r="Q35" i="34" s="1"/>
  <c r="P34" i="34"/>
  <c r="M34" i="34"/>
  <c r="Q34" i="34" s="1"/>
  <c r="P33" i="34"/>
  <c r="M33" i="34"/>
  <c r="Q33" i="34" s="1"/>
  <c r="P32" i="34"/>
  <c r="M32" i="34"/>
  <c r="Q32" i="34" s="1"/>
  <c r="P31" i="34"/>
  <c r="M31" i="34"/>
  <c r="Q31" i="34" s="1"/>
  <c r="P30" i="34"/>
  <c r="M30" i="34"/>
  <c r="Q30" i="34" s="1"/>
  <c r="P29" i="34"/>
  <c r="M29" i="34"/>
  <c r="Q29" i="34" s="1"/>
  <c r="P28" i="34"/>
  <c r="M28" i="34"/>
  <c r="Q28" i="34" s="1"/>
  <c r="P27" i="34"/>
  <c r="M27" i="34"/>
  <c r="Q27" i="34" s="1"/>
  <c r="P26" i="34"/>
  <c r="M26" i="34"/>
  <c r="Q26" i="34" s="1"/>
  <c r="P25" i="34"/>
  <c r="M25" i="34"/>
  <c r="Q25" i="34" s="1"/>
  <c r="P24" i="34"/>
  <c r="M24" i="34"/>
  <c r="Q24" i="34" s="1"/>
  <c r="P23" i="34"/>
  <c r="M23" i="34"/>
  <c r="Q23" i="34" s="1"/>
  <c r="P22" i="34"/>
  <c r="M22" i="34"/>
  <c r="Q22" i="34" s="1"/>
  <c r="P21" i="34"/>
  <c r="M21" i="34"/>
  <c r="Q21" i="34" s="1"/>
  <c r="P20" i="34"/>
  <c r="M20" i="34"/>
  <c r="Q20" i="34" s="1"/>
  <c r="P19" i="34"/>
  <c r="M19" i="34"/>
  <c r="Q19" i="34" s="1"/>
  <c r="P18" i="34"/>
  <c r="M18" i="34"/>
  <c r="Q18" i="34" s="1"/>
  <c r="P17" i="34"/>
  <c r="M17" i="34"/>
  <c r="Q17" i="34" s="1"/>
  <c r="P16" i="34"/>
  <c r="M16" i="34"/>
  <c r="Q16" i="34" s="1"/>
  <c r="P15" i="34"/>
  <c r="M15" i="34"/>
  <c r="Q15" i="34" s="1"/>
  <c r="P14" i="34"/>
  <c r="M14" i="34"/>
  <c r="Q14" i="34" s="1"/>
  <c r="P13" i="34"/>
  <c r="M13" i="34"/>
  <c r="Q13" i="34" s="1"/>
  <c r="P12" i="34"/>
  <c r="M12" i="34"/>
  <c r="Q12" i="34" s="1"/>
  <c r="P11" i="34"/>
  <c r="M11" i="34"/>
  <c r="P10" i="34"/>
  <c r="M10" i="34"/>
  <c r="Q10" i="34" s="1"/>
  <c r="P9" i="34"/>
  <c r="M9" i="34"/>
  <c r="P8" i="34"/>
  <c r="M8" i="34"/>
  <c r="Q8" i="34" s="1"/>
  <c r="P7" i="34"/>
  <c r="M7" i="34"/>
  <c r="P6" i="34"/>
  <c r="M6" i="34"/>
  <c r="Q6" i="34" s="1"/>
  <c r="P5" i="34"/>
  <c r="M5" i="34"/>
  <c r="P4" i="34"/>
  <c r="M4" i="34"/>
  <c r="Q4" i="34" s="1"/>
  <c r="B5" i="31"/>
  <c r="B104" i="31"/>
  <c r="B103" i="31"/>
  <c r="B102" i="31"/>
  <c r="B101" i="31"/>
  <c r="B100" i="31"/>
  <c r="B99" i="31"/>
  <c r="B98" i="31"/>
  <c r="B97" i="31"/>
  <c r="B96" i="31"/>
  <c r="B95" i="31"/>
  <c r="B94" i="31"/>
  <c r="B93" i="31"/>
  <c r="B92" i="31"/>
  <c r="B91" i="31"/>
  <c r="B90" i="31"/>
  <c r="B89" i="31"/>
  <c r="B88" i="31"/>
  <c r="B87" i="31"/>
  <c r="B86" i="31"/>
  <c r="B85" i="31"/>
  <c r="B84" i="31"/>
  <c r="B83" i="31"/>
  <c r="B82" i="31"/>
  <c r="B81" i="31"/>
  <c r="B80" i="31"/>
  <c r="B79" i="31"/>
  <c r="B78" i="31"/>
  <c r="B77" i="31"/>
  <c r="B76" i="31"/>
  <c r="B75" i="31"/>
  <c r="B74" i="31"/>
  <c r="B73" i="31"/>
  <c r="B72" i="31"/>
  <c r="B71" i="31"/>
  <c r="B70" i="31"/>
  <c r="B69" i="31"/>
  <c r="B68" i="31"/>
  <c r="B67" i="31"/>
  <c r="B66" i="31"/>
  <c r="B65" i="31"/>
  <c r="B64" i="31"/>
  <c r="B63" i="31"/>
  <c r="B62" i="31"/>
  <c r="B61" i="31"/>
  <c r="B60" i="31"/>
  <c r="B59" i="31"/>
  <c r="B58" i="31"/>
  <c r="B57" i="31"/>
  <c r="B56" i="31"/>
  <c r="B55" i="31"/>
  <c r="B54" i="31"/>
  <c r="B53" i="31"/>
  <c r="B52" i="31"/>
  <c r="B51" i="31"/>
  <c r="B50" i="31"/>
  <c r="B49" i="31"/>
  <c r="B48" i="31"/>
  <c r="B47" i="31"/>
  <c r="B46" i="31"/>
  <c r="B45" i="31"/>
  <c r="B44" i="31"/>
  <c r="B43" i="31"/>
  <c r="B42" i="31"/>
  <c r="B41" i="31"/>
  <c r="B40" i="31"/>
  <c r="B39" i="31"/>
  <c r="B38" i="31"/>
  <c r="B37" i="31"/>
  <c r="B36" i="31"/>
  <c r="B35" i="31"/>
  <c r="B34" i="31"/>
  <c r="B33" i="31"/>
  <c r="B32" i="31"/>
  <c r="B31" i="31"/>
  <c r="B30" i="31"/>
  <c r="B29" i="31"/>
  <c r="B28" i="31"/>
  <c r="B27" i="31"/>
  <c r="B26" i="31"/>
  <c r="B25" i="31"/>
  <c r="B24" i="31"/>
  <c r="B23" i="31"/>
  <c r="B22" i="31"/>
  <c r="B21" i="31"/>
  <c r="B20" i="31"/>
  <c r="B19" i="31"/>
  <c r="B18" i="31"/>
  <c r="B17" i="31"/>
  <c r="B16" i="31"/>
  <c r="B15" i="31"/>
  <c r="B14" i="31"/>
  <c r="B13" i="31"/>
  <c r="B12" i="31"/>
  <c r="B11" i="31"/>
  <c r="B10" i="31"/>
  <c r="B9" i="31"/>
  <c r="B8" i="31"/>
  <c r="B7" i="31"/>
  <c r="B6" i="31"/>
  <c r="Q5" i="35" l="1"/>
  <c r="Q13" i="35"/>
  <c r="Q21" i="35"/>
  <c r="Q29" i="35"/>
  <c r="Q37" i="35"/>
  <c r="Q45" i="35"/>
  <c r="Q53" i="35"/>
  <c r="Q61" i="35"/>
  <c r="Q69" i="35"/>
  <c r="Q77" i="35"/>
  <c r="Q85" i="35"/>
  <c r="Q93" i="35"/>
  <c r="Q101" i="35"/>
  <c r="Q6" i="35"/>
  <c r="R72" i="35" s="1"/>
  <c r="Q14" i="35"/>
  <c r="Q22" i="35"/>
  <c r="Q30" i="35"/>
  <c r="Q38" i="35"/>
  <c r="Q46" i="35"/>
  <c r="Q54" i="35"/>
  <c r="Q62" i="35"/>
  <c r="Q70" i="35"/>
  <c r="R70" i="35" s="1"/>
  <c r="Q78" i="35"/>
  <c r="Q86" i="35"/>
  <c r="Q94" i="35"/>
  <c r="Q102" i="35"/>
  <c r="Q10" i="35"/>
  <c r="Q11" i="34"/>
  <c r="Q9" i="34"/>
  <c r="Q7" i="34"/>
  <c r="Q5" i="34"/>
  <c r="R51" i="35"/>
  <c r="P104" i="31"/>
  <c r="M104" i="31"/>
  <c r="P103" i="31"/>
  <c r="M103" i="31"/>
  <c r="P102" i="31"/>
  <c r="M102" i="31"/>
  <c r="P101" i="31"/>
  <c r="M101" i="31"/>
  <c r="Q101" i="31" s="1"/>
  <c r="P100" i="31"/>
  <c r="M100" i="31"/>
  <c r="P99" i="31"/>
  <c r="M99" i="31"/>
  <c r="P98" i="31"/>
  <c r="M98" i="31"/>
  <c r="P97" i="31"/>
  <c r="M97" i="31"/>
  <c r="Q97" i="31" s="1"/>
  <c r="P96" i="31"/>
  <c r="M96" i="31"/>
  <c r="P95" i="31"/>
  <c r="M95" i="31"/>
  <c r="P94" i="31"/>
  <c r="M94" i="31"/>
  <c r="Q94" i="31" s="1"/>
  <c r="P93" i="31"/>
  <c r="M93" i="31"/>
  <c r="P92" i="31"/>
  <c r="M92" i="31"/>
  <c r="P91" i="31"/>
  <c r="M91" i="31"/>
  <c r="Q91" i="31" s="1"/>
  <c r="P90" i="31"/>
  <c r="M90" i="31"/>
  <c r="P89" i="31"/>
  <c r="M89" i="31"/>
  <c r="Q89" i="31" s="1"/>
  <c r="P88" i="31"/>
  <c r="M88" i="31"/>
  <c r="P87" i="31"/>
  <c r="M87" i="31"/>
  <c r="P86" i="31"/>
  <c r="M86" i="31"/>
  <c r="P85" i="31"/>
  <c r="M85" i="31"/>
  <c r="P84" i="31"/>
  <c r="M84" i="31"/>
  <c r="P83" i="31"/>
  <c r="M83" i="31"/>
  <c r="P82" i="31"/>
  <c r="M82" i="31"/>
  <c r="P81" i="31"/>
  <c r="M81" i="31"/>
  <c r="P80" i="31"/>
  <c r="M80" i="31"/>
  <c r="Q80" i="31" s="1"/>
  <c r="P79" i="31"/>
  <c r="M79" i="31"/>
  <c r="P78" i="31"/>
  <c r="M78" i="31"/>
  <c r="P77" i="31"/>
  <c r="M77" i="31"/>
  <c r="P76" i="31"/>
  <c r="M76" i="31"/>
  <c r="P75" i="31"/>
  <c r="M75" i="31"/>
  <c r="P74" i="31"/>
  <c r="M74" i="31"/>
  <c r="P73" i="31"/>
  <c r="M73" i="31"/>
  <c r="P72" i="31"/>
  <c r="M72" i="31"/>
  <c r="Q72" i="31" s="1"/>
  <c r="P71" i="31"/>
  <c r="M71" i="31"/>
  <c r="P70" i="31"/>
  <c r="M70" i="31"/>
  <c r="Q70" i="31" s="1"/>
  <c r="P69" i="31"/>
  <c r="M69" i="31"/>
  <c r="Q69" i="31" s="1"/>
  <c r="P68" i="31"/>
  <c r="M68" i="31"/>
  <c r="P67" i="31"/>
  <c r="M67" i="31"/>
  <c r="P66" i="31"/>
  <c r="M66" i="31"/>
  <c r="Q66" i="31" s="1"/>
  <c r="P65" i="31"/>
  <c r="M65" i="31"/>
  <c r="P64" i="31"/>
  <c r="M64" i="31"/>
  <c r="Q64" i="31" s="1"/>
  <c r="P63" i="31"/>
  <c r="M63" i="31"/>
  <c r="P62" i="31"/>
  <c r="M62" i="31"/>
  <c r="P61" i="31"/>
  <c r="M61" i="31"/>
  <c r="P60" i="31"/>
  <c r="M60" i="31"/>
  <c r="P59" i="31"/>
  <c r="M59" i="31"/>
  <c r="Q59" i="31" s="1"/>
  <c r="P58" i="31"/>
  <c r="M58" i="31"/>
  <c r="P57" i="31"/>
  <c r="M57" i="31"/>
  <c r="Q57" i="31" s="1"/>
  <c r="P56" i="31"/>
  <c r="M56" i="31"/>
  <c r="P55" i="31"/>
  <c r="M55" i="31"/>
  <c r="P54" i="31"/>
  <c r="M54" i="31"/>
  <c r="Q54" i="31" s="1"/>
  <c r="P53" i="31"/>
  <c r="M53" i="31"/>
  <c r="P52" i="31"/>
  <c r="M52" i="31"/>
  <c r="P51" i="31"/>
  <c r="M51" i="31"/>
  <c r="P50" i="31"/>
  <c r="M50" i="31"/>
  <c r="Q50" i="31" s="1"/>
  <c r="P49" i="31"/>
  <c r="M49" i="31"/>
  <c r="Q49" i="31" s="1"/>
  <c r="P48" i="31"/>
  <c r="M48" i="31"/>
  <c r="P47" i="31"/>
  <c r="M47" i="31"/>
  <c r="P46" i="31"/>
  <c r="M46" i="31"/>
  <c r="P45" i="31"/>
  <c r="M45" i="31"/>
  <c r="P44" i="31"/>
  <c r="M44" i="31"/>
  <c r="P43" i="31"/>
  <c r="M43" i="31"/>
  <c r="P42" i="31"/>
  <c r="M42" i="31"/>
  <c r="Q42" i="31" s="1"/>
  <c r="P41" i="31"/>
  <c r="M41" i="31"/>
  <c r="P40" i="31"/>
  <c r="M40" i="31"/>
  <c r="Q40" i="31" s="1"/>
  <c r="P39" i="31"/>
  <c r="M39" i="31"/>
  <c r="P38" i="31"/>
  <c r="M38" i="31"/>
  <c r="Q38" i="31" s="1"/>
  <c r="P37" i="31"/>
  <c r="M37" i="31"/>
  <c r="Q37" i="31" s="1"/>
  <c r="P36" i="31"/>
  <c r="M36" i="31"/>
  <c r="P35" i="31"/>
  <c r="M35" i="31"/>
  <c r="P34" i="31"/>
  <c r="M34" i="31"/>
  <c r="P33" i="31"/>
  <c r="M33" i="31"/>
  <c r="P32" i="31"/>
  <c r="M32" i="31"/>
  <c r="Q32" i="31" s="1"/>
  <c r="P31" i="31"/>
  <c r="M31" i="31"/>
  <c r="P30" i="31"/>
  <c r="M30" i="31"/>
  <c r="P29" i="31"/>
  <c r="M29" i="31"/>
  <c r="P28" i="31"/>
  <c r="M28" i="31"/>
  <c r="P27" i="31"/>
  <c r="M27" i="31"/>
  <c r="P26" i="31"/>
  <c r="M26" i="31"/>
  <c r="P25" i="31"/>
  <c r="M25" i="31"/>
  <c r="P24" i="31"/>
  <c r="M24" i="31"/>
  <c r="P23" i="31"/>
  <c r="M23" i="31"/>
  <c r="P22" i="31"/>
  <c r="M22" i="31"/>
  <c r="P21" i="31"/>
  <c r="M21" i="31"/>
  <c r="P20" i="31"/>
  <c r="M20" i="31"/>
  <c r="P19" i="31"/>
  <c r="M19" i="31"/>
  <c r="P18" i="31"/>
  <c r="M18" i="31"/>
  <c r="Q18" i="31" s="1"/>
  <c r="P17" i="31"/>
  <c r="M17" i="31"/>
  <c r="P16" i="31"/>
  <c r="M16" i="31"/>
  <c r="P15" i="31"/>
  <c r="M15" i="31"/>
  <c r="P14" i="31"/>
  <c r="M14" i="31"/>
  <c r="P13" i="31"/>
  <c r="M13" i="31"/>
  <c r="P12" i="31"/>
  <c r="M12" i="31"/>
  <c r="P11" i="31"/>
  <c r="M11" i="31"/>
  <c r="P10" i="31"/>
  <c r="M10" i="31"/>
  <c r="P9" i="31"/>
  <c r="M9" i="31"/>
  <c r="P8" i="31"/>
  <c r="M8" i="31"/>
  <c r="P7" i="31"/>
  <c r="M7" i="31"/>
  <c r="P6" i="31"/>
  <c r="M6" i="31"/>
  <c r="P5" i="31"/>
  <c r="M5" i="31"/>
  <c r="N5" i="31" s="1"/>
  <c r="P4" i="31"/>
  <c r="M4" i="31"/>
  <c r="R37" i="35" l="1"/>
  <c r="R13" i="35"/>
  <c r="R69" i="35"/>
  <c r="R82" i="35"/>
  <c r="R45" i="35"/>
  <c r="R62" i="35"/>
  <c r="R66" i="35"/>
  <c r="R90" i="35"/>
  <c r="R81" i="35"/>
  <c r="R77" i="35"/>
  <c r="R87" i="35"/>
  <c r="R43" i="35"/>
  <c r="R14" i="35"/>
  <c r="R73" i="35"/>
  <c r="R55" i="35"/>
  <c r="R17" i="35"/>
  <c r="R8" i="35"/>
  <c r="R34" i="35"/>
  <c r="R20" i="35"/>
  <c r="R94" i="35"/>
  <c r="R53" i="35"/>
  <c r="R63" i="35"/>
  <c r="R29" i="35"/>
  <c r="R31" i="35"/>
  <c r="R101" i="35"/>
  <c r="R91" i="35"/>
  <c r="R30" i="35"/>
  <c r="R56" i="35"/>
  <c r="R79" i="35"/>
  <c r="R84" i="35"/>
  <c r="R24" i="35"/>
  <c r="R50" i="35"/>
  <c r="R41" i="35"/>
  <c r="R5" i="35"/>
  <c r="R103" i="35"/>
  <c r="R23" i="35"/>
  <c r="R93" i="35"/>
  <c r="R83" i="35"/>
  <c r="R9" i="35"/>
  <c r="R59" i="35"/>
  <c r="R22" i="35"/>
  <c r="R11" i="35"/>
  <c r="R6" i="35"/>
  <c r="R60" i="35"/>
  <c r="R68" i="35"/>
  <c r="R47" i="35"/>
  <c r="R39" i="35"/>
  <c r="R98" i="35"/>
  <c r="R18" i="35"/>
  <c r="R88" i="35"/>
  <c r="R75" i="35"/>
  <c r="R27" i="35"/>
  <c r="R71" i="35"/>
  <c r="R76" i="35"/>
  <c r="R28" i="35"/>
  <c r="R36" i="35"/>
  <c r="R95" i="35"/>
  <c r="R15" i="35"/>
  <c r="Q82" i="31"/>
  <c r="Q4" i="31"/>
  <c r="Q20" i="31"/>
  <c r="Q52" i="31"/>
  <c r="Q84" i="31"/>
  <c r="Q92" i="31"/>
  <c r="R77" i="34"/>
  <c r="R90" i="34"/>
  <c r="R44" i="35"/>
  <c r="R74" i="35"/>
  <c r="R58" i="35"/>
  <c r="R42" i="35"/>
  <c r="R26" i="35"/>
  <c r="R7" i="35"/>
  <c r="R38" i="35"/>
  <c r="R97" i="35"/>
  <c r="R52" i="35"/>
  <c r="R104" i="35"/>
  <c r="R85" i="35"/>
  <c r="R61" i="35"/>
  <c r="R40" i="35"/>
  <c r="R21" i="35"/>
  <c r="R99" i="35"/>
  <c r="R78" i="35"/>
  <c r="R46" i="35"/>
  <c r="R89" i="35"/>
  <c r="R49" i="35"/>
  <c r="R12" i="35"/>
  <c r="R10" i="35"/>
  <c r="R54" i="35"/>
  <c r="R19" i="35"/>
  <c r="R92" i="35"/>
  <c r="R57" i="35"/>
  <c r="R25" i="35"/>
  <c r="R96" i="35"/>
  <c r="R80" i="35"/>
  <c r="R64" i="35"/>
  <c r="R48" i="35"/>
  <c r="R32" i="35"/>
  <c r="R16" i="35"/>
  <c r="R102" i="35"/>
  <c r="R86" i="35"/>
  <c r="R67" i="35"/>
  <c r="R35" i="35"/>
  <c r="R100" i="35"/>
  <c r="R65" i="35"/>
  <c r="R33" i="35"/>
  <c r="R25" i="34"/>
  <c r="R38" i="34"/>
  <c r="R100" i="34"/>
  <c r="R79" i="34"/>
  <c r="R61" i="34"/>
  <c r="R91" i="34"/>
  <c r="R92" i="34"/>
  <c r="R42" i="34"/>
  <c r="R104" i="34"/>
  <c r="R59" i="34"/>
  <c r="R36" i="34"/>
  <c r="R34" i="34"/>
  <c r="R101" i="34"/>
  <c r="R12" i="34"/>
  <c r="R66" i="34"/>
  <c r="R15" i="34"/>
  <c r="R37" i="34"/>
  <c r="R88" i="34"/>
  <c r="R83" i="34"/>
  <c r="R27" i="34"/>
  <c r="R76" i="34"/>
  <c r="R47" i="34"/>
  <c r="R85" i="34"/>
  <c r="R24" i="34"/>
  <c r="R16" i="34"/>
  <c r="R67" i="34"/>
  <c r="R22" i="34"/>
  <c r="R60" i="34"/>
  <c r="R98" i="34"/>
  <c r="R63" i="34"/>
  <c r="R18" i="34"/>
  <c r="R64" i="34"/>
  <c r="R13" i="34"/>
  <c r="R29" i="34"/>
  <c r="R86" i="34"/>
  <c r="R51" i="34"/>
  <c r="R6" i="34"/>
  <c r="R73" i="34"/>
  <c r="R82" i="34"/>
  <c r="R58" i="34"/>
  <c r="R26" i="34"/>
  <c r="R80" i="34"/>
  <c r="R48" i="34"/>
  <c r="R20" i="34"/>
  <c r="R56" i="34"/>
  <c r="R102" i="34"/>
  <c r="R70" i="34"/>
  <c r="R43" i="34"/>
  <c r="R19" i="34"/>
  <c r="R84" i="34"/>
  <c r="R57" i="34"/>
  <c r="R9" i="34"/>
  <c r="R95" i="34"/>
  <c r="R74" i="34"/>
  <c r="R50" i="34"/>
  <c r="R31" i="34"/>
  <c r="R10" i="34"/>
  <c r="R69" i="34"/>
  <c r="R45" i="34"/>
  <c r="R8" i="34"/>
  <c r="R93" i="34"/>
  <c r="R21" i="34"/>
  <c r="R99" i="34"/>
  <c r="R75" i="34"/>
  <c r="R54" i="34"/>
  <c r="R35" i="34"/>
  <c r="R11" i="34"/>
  <c r="R89" i="34"/>
  <c r="R68" i="34"/>
  <c r="R28" i="34"/>
  <c r="R17" i="34"/>
  <c r="R52" i="34"/>
  <c r="R103" i="34"/>
  <c r="R87" i="34"/>
  <c r="R71" i="34"/>
  <c r="R55" i="34"/>
  <c r="R39" i="34"/>
  <c r="R23" i="34"/>
  <c r="R7" i="34"/>
  <c r="R72" i="34"/>
  <c r="R53" i="34"/>
  <c r="R32" i="34"/>
  <c r="R33" i="34"/>
  <c r="R96" i="34"/>
  <c r="R40" i="34"/>
  <c r="R5" i="34"/>
  <c r="R94" i="34"/>
  <c r="R78" i="34"/>
  <c r="R62" i="34"/>
  <c r="R46" i="34"/>
  <c r="R30" i="34"/>
  <c r="R14" i="34"/>
  <c r="R97" i="34"/>
  <c r="R81" i="34"/>
  <c r="R65" i="34"/>
  <c r="R44" i="34"/>
  <c r="R49" i="34"/>
  <c r="Q22" i="31"/>
  <c r="Q34" i="31"/>
  <c r="Q74" i="31"/>
  <c r="R41" i="34"/>
  <c r="Q6" i="31"/>
  <c r="Q102" i="31"/>
  <c r="Q98" i="31"/>
  <c r="Q7" i="31"/>
  <c r="Q11" i="31"/>
  <c r="Q17" i="31"/>
  <c r="Q25" i="31"/>
  <c r="Q27" i="31"/>
  <c r="Q39" i="31"/>
  <c r="Q86" i="31"/>
  <c r="Q9" i="31"/>
  <c r="Q12" i="31"/>
  <c r="Q14" i="31"/>
  <c r="Q19" i="31"/>
  <c r="Q29" i="31"/>
  <c r="Q44" i="31"/>
  <c r="Q46" i="31"/>
  <c r="Q51" i="31"/>
  <c r="Q61" i="31"/>
  <c r="Q77" i="31"/>
  <c r="Q79" i="31"/>
  <c r="Q16" i="31"/>
  <c r="Q21" i="31"/>
  <c r="Q24" i="31"/>
  <c r="Q26" i="31"/>
  <c r="Q33" i="31"/>
  <c r="Q36" i="31"/>
  <c r="Q41" i="31"/>
  <c r="Q43" i="31"/>
  <c r="Q48" i="31"/>
  <c r="Q53" i="31"/>
  <c r="Q56" i="31"/>
  <c r="Q58" i="31"/>
  <c r="Q65" i="31"/>
  <c r="Q68" i="31"/>
  <c r="Q71" i="31"/>
  <c r="Q81" i="31"/>
  <c r="Q83" i="31"/>
  <c r="Q88" i="31"/>
  <c r="Q90" i="31"/>
  <c r="Q93" i="31"/>
  <c r="Q96" i="31"/>
  <c r="Q100" i="31"/>
  <c r="Q104" i="31"/>
  <c r="Q5" i="31"/>
  <c r="Q8" i="31"/>
  <c r="Q10" i="31"/>
  <c r="Q13" i="31"/>
  <c r="Q23" i="31"/>
  <c r="Q28" i="31"/>
  <c r="Q30" i="31"/>
  <c r="Q35" i="31"/>
  <c r="Q45" i="31"/>
  <c r="Q55" i="31"/>
  <c r="Q60" i="31"/>
  <c r="Q62" i="31"/>
  <c r="Q67" i="31"/>
  <c r="Q73" i="31"/>
  <c r="Q76" i="31"/>
  <c r="Q78" i="31"/>
  <c r="Q85" i="31"/>
  <c r="Q87" i="31"/>
  <c r="Q95" i="31"/>
  <c r="Q99" i="31"/>
  <c r="Q75" i="31"/>
  <c r="Q15" i="31"/>
  <c r="Q31" i="31"/>
  <c r="Q47" i="31"/>
  <c r="Q63" i="31"/>
  <c r="Q103" i="31"/>
  <c r="R85" i="31" l="1"/>
  <c r="R103" i="31"/>
  <c r="R57" i="31"/>
  <c r="R92" i="31"/>
  <c r="R83" i="31"/>
  <c r="R82" i="31"/>
  <c r="R72" i="31"/>
  <c r="R23" i="31"/>
  <c r="R62" i="31"/>
  <c r="R14" i="31"/>
  <c r="R99" i="31"/>
  <c r="R80" i="31"/>
  <c r="R44" i="31"/>
  <c r="R12" i="31"/>
  <c r="R79" i="31"/>
  <c r="R27" i="31"/>
  <c r="R93" i="31"/>
  <c r="R71" i="31"/>
  <c r="R48" i="31"/>
  <c r="R16" i="31"/>
  <c r="R74" i="31"/>
  <c r="R102" i="31"/>
  <c r="R84" i="31"/>
  <c r="R69" i="31"/>
  <c r="R53" i="31"/>
  <c r="R37" i="31"/>
  <c r="R21" i="31"/>
  <c r="R7" i="31"/>
  <c r="R38" i="31"/>
  <c r="R45" i="31"/>
  <c r="R5" i="31"/>
  <c r="R33" i="31"/>
  <c r="R61" i="31"/>
  <c r="R9" i="31"/>
  <c r="R15" i="31"/>
  <c r="R40" i="31"/>
  <c r="R51" i="31"/>
  <c r="R86" i="31"/>
  <c r="R39" i="31"/>
  <c r="R56" i="31"/>
  <c r="R10" i="31"/>
  <c r="R17" i="31"/>
  <c r="R95" i="31"/>
  <c r="R63" i="31"/>
  <c r="R31" i="31"/>
  <c r="R8" i="31"/>
  <c r="R76" i="31"/>
  <c r="R104" i="31"/>
  <c r="R90" i="31"/>
  <c r="R67" i="31"/>
  <c r="R35" i="31"/>
  <c r="R94" i="31"/>
  <c r="R59" i="31"/>
  <c r="R98" i="31"/>
  <c r="R75" i="31"/>
  <c r="R68" i="31"/>
  <c r="R52" i="31"/>
  <c r="R36" i="31"/>
  <c r="R20" i="31"/>
  <c r="R101" i="31"/>
  <c r="R24" i="31"/>
  <c r="R30" i="31"/>
  <c r="R81" i="31"/>
  <c r="R26" i="31"/>
  <c r="R46" i="31"/>
  <c r="R41" i="31"/>
  <c r="R6" i="31"/>
  <c r="R47" i="31"/>
  <c r="R96" i="31"/>
  <c r="R19" i="31"/>
  <c r="R22" i="31"/>
  <c r="R55" i="31"/>
  <c r="R11" i="31"/>
  <c r="R58" i="31"/>
  <c r="R77" i="31"/>
  <c r="R87" i="31"/>
  <c r="R60" i="31"/>
  <c r="R28" i="31"/>
  <c r="R97" i="31"/>
  <c r="R54" i="31"/>
  <c r="R100" i="31"/>
  <c r="R88" i="31"/>
  <c r="R64" i="31"/>
  <c r="R32" i="31"/>
  <c r="R89" i="31"/>
  <c r="R43" i="31"/>
  <c r="R91" i="31"/>
  <c r="R73" i="31"/>
  <c r="R66" i="31"/>
  <c r="R50" i="31"/>
  <c r="R34" i="31"/>
  <c r="R18" i="31"/>
  <c r="R70" i="31"/>
  <c r="R78" i="31"/>
  <c r="R13" i="31"/>
  <c r="R65" i="31"/>
  <c r="R42" i="31"/>
  <c r="R29" i="31"/>
  <c r="R25" i="31"/>
  <c r="R49" i="31"/>
</calcChain>
</file>

<file path=xl/sharedStrings.xml><?xml version="1.0" encoding="utf-8"?>
<sst xmlns="http://schemas.openxmlformats.org/spreadsheetml/2006/main" count="357" uniqueCount="321">
  <si>
    <t xml:space="preserve"> ID#</t>
  </si>
  <si>
    <t>STUDENT NAME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</si>
  <si>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</si>
  <si>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</si>
  <si>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</si>
  <si>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</si>
  <si>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</si>
  <si>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</si>
  <si>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</si>
  <si>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</si>
  <si>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</si>
  <si>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</si>
  <si>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CLASS RAW SCORE</t>
  </si>
  <si>
    <t>CLASS  SCORE(50%)</t>
  </si>
  <si>
    <t>EXAM RAW SCORE</t>
  </si>
  <si>
    <t>EXAM SCORE(50%)</t>
  </si>
  <si>
    <t>TOTAL SCORE(100%)</t>
  </si>
  <si>
    <t>Position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</si>
  <si>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</si>
  <si>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</si>
  <si>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</si>
  <si>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</si>
  <si>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</si>
  <si>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</si>
  <si>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</si>
  <si>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</si>
  <si>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</si>
  <si>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</si>
  <si>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</si>
  <si>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</si>
  <si>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</si>
  <si>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</si>
  <si>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</si>
  <si>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</si>
  <si>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</si>
  <si>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</si>
  <si>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</si>
  <si>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</si>
  <si>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</si>
  <si>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</si>
  <si>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</si>
  <si>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</si>
  <si>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</si>
  <si>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</si>
  <si>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</si>
  <si>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</si>
  <si>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</si>
  <si>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</si>
  <si>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</si>
  <si>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</si>
  <si>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</si>
  <si>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</si>
  <si>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</si>
  <si>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</si>
  <si>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</si>
  <si>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</si>
  <si>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</si>
  <si>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</si>
  <si>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</si>
  <si>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</si>
  <si>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</si>
  <si>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</si>
  <si>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</si>
  <si>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</si>
  <si>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</si>
  <si>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</si>
  <si>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</si>
  <si>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</si>
  <si>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</si>
  <si>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</si>
  <si>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</si>
  <si>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</si>
  <si>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</si>
  <si>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</si>
  <si>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</si>
  <si>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</si>
  <si>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</si>
  <si>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</si>
  <si>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</si>
  <si>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</si>
  <si>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</si>
  <si>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</si>
  <si>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</si>
  <si>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</si>
  <si>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</si>
  <si>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</si>
  <si>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</si>
  <si>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</si>
  <si>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</si>
  <si>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</si>
  <si>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</si>
  <si>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</si>
  <si>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</si>
  <si>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</si>
  <si>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</si>
  <si>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</si>
  <si>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</si>
  <si>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</si>
  <si>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</si>
  <si>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</si>
  <si>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</si>
  <si>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</si>
  <si>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</si>
  <si>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</si>
  <si>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</si>
  <si>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</si>
  <si>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</si>
  <si>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</si>
  <si>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</si>
  <si>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</si>
  <si>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</si>
  <si>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</si>
  <si>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</si>
  <si>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</si>
  <si>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</si>
  <si>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</si>
  <si>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</si>
  <si>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</si>
  <si>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ENGLISH LANGUAGE - TERM 1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</si>
  <si>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</si>
  <si>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</si>
  <si>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</si>
  <si>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</si>
  <si>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</si>
  <si>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</si>
  <si>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</si>
  <si>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</si>
  <si>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</si>
  <si>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</si>
  <si>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</si>
  <si>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</si>
  <si>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</si>
  <si>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</si>
  <si>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</si>
  <si>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</si>
  <si>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</si>
  <si>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</si>
  <si>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</si>
  <si>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</si>
  <si>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</si>
  <si>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</si>
  <si>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</si>
  <si>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</si>
  <si>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</si>
  <si>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</si>
  <si>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</si>
  <si>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</si>
  <si>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</si>
  <si>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</si>
  <si>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</si>
  <si>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</si>
  <si>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</si>
  <si>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</si>
  <si>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</si>
  <si>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</si>
  <si>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O037</t>
  </si>
  <si>
    <t>O038</t>
  </si>
  <si>
    <t>O039</t>
  </si>
  <si>
    <t>O040</t>
  </si>
  <si>
    <t>O041</t>
  </si>
  <si>
    <t>O042</t>
  </si>
  <si>
    <t>O043</t>
  </si>
  <si>
    <t>O044</t>
  </si>
  <si>
    <t>O045</t>
  </si>
  <si>
    <t>O046</t>
  </si>
  <si>
    <t>O047</t>
  </si>
  <si>
    <t>O048</t>
  </si>
  <si>
    <t>O049</t>
  </si>
  <si>
    <t>O050</t>
  </si>
  <si>
    <t>O051</t>
  </si>
  <si>
    <t>O052</t>
  </si>
  <si>
    <t>O053</t>
  </si>
  <si>
    <t>O054</t>
  </si>
  <si>
    <t>O055</t>
  </si>
  <si>
    <t>O056</t>
  </si>
  <si>
    <t>O057</t>
  </si>
  <si>
    <t>O058</t>
  </si>
  <si>
    <t>O059</t>
  </si>
  <si>
    <t>O060</t>
  </si>
  <si>
    <t>O061</t>
  </si>
  <si>
    <t>O062</t>
  </si>
  <si>
    <t>O063</t>
  </si>
  <si>
    <t>O064</t>
  </si>
  <si>
    <t>O065</t>
  </si>
  <si>
    <t>O066</t>
  </si>
  <si>
    <t>O067</t>
  </si>
  <si>
    <t>O068</t>
  </si>
  <si>
    <t>O069</t>
  </si>
  <si>
    <t>O070</t>
  </si>
  <si>
    <t>O071</t>
  </si>
  <si>
    <t>O072</t>
  </si>
  <si>
    <t>O073</t>
  </si>
  <si>
    <t>O074</t>
  </si>
  <si>
    <t>O075</t>
  </si>
  <si>
    <t>O076</t>
  </si>
  <si>
    <t>O077</t>
  </si>
  <si>
    <t>O078</t>
  </si>
  <si>
    <t>O079</t>
  </si>
  <si>
    <t>O080</t>
  </si>
  <si>
    <t>O081</t>
  </si>
  <si>
    <t>O082</t>
  </si>
  <si>
    <t>O083</t>
  </si>
  <si>
    <t>O084</t>
  </si>
  <si>
    <t>O085</t>
  </si>
  <si>
    <t>O086</t>
  </si>
  <si>
    <t>O087</t>
  </si>
  <si>
    <t>O088</t>
  </si>
  <si>
    <t>O089</t>
  </si>
  <si>
    <t>O090</t>
  </si>
  <si>
    <t>O091</t>
  </si>
  <si>
    <t>O092</t>
  </si>
  <si>
    <t>O093</t>
  </si>
  <si>
    <t>O094</t>
  </si>
  <si>
    <t>O095</t>
  </si>
  <si>
    <t>O096</t>
  </si>
  <si>
    <t>O097</t>
  </si>
  <si>
    <t>O098</t>
  </si>
  <si>
    <t>O099</t>
  </si>
  <si>
    <t>O100</t>
  </si>
  <si>
    <t>ENGLISH LANGUAGE - TERM 2</t>
  </si>
  <si>
    <t>G001</t>
  </si>
  <si>
    <t>G002</t>
  </si>
  <si>
    <t>G003</t>
  </si>
  <si>
    <t>G004</t>
  </si>
  <si>
    <t>G005</t>
  </si>
  <si>
    <t>G006</t>
  </si>
  <si>
    <t>G007</t>
  </si>
  <si>
    <t>G008</t>
  </si>
  <si>
    <t>G009</t>
  </si>
  <si>
    <t>G010</t>
  </si>
  <si>
    <t>G011</t>
  </si>
  <si>
    <t>G012</t>
  </si>
  <si>
    <t>G013</t>
  </si>
  <si>
    <t>G014</t>
  </si>
  <si>
    <t>G015</t>
  </si>
  <si>
    <t>G016</t>
  </si>
  <si>
    <t>G017</t>
  </si>
  <si>
    <t>G018</t>
  </si>
  <si>
    <t>G019</t>
  </si>
  <si>
    <t>G020</t>
  </si>
  <si>
    <t>G021</t>
  </si>
  <si>
    <t>G022</t>
  </si>
  <si>
    <t>G023</t>
  </si>
  <si>
    <t>G024</t>
  </si>
  <si>
    <t>G025</t>
  </si>
  <si>
    <t>G026</t>
  </si>
  <si>
    <t>G027</t>
  </si>
  <si>
    <t>G028</t>
  </si>
  <si>
    <t>G029</t>
  </si>
  <si>
    <t>G030</t>
  </si>
  <si>
    <t>G031</t>
  </si>
  <si>
    <t>G032</t>
  </si>
  <si>
    <t>G033</t>
  </si>
  <si>
    <t>G034</t>
  </si>
  <si>
    <t>G035</t>
  </si>
  <si>
    <t>G036</t>
  </si>
  <si>
    <t>G037</t>
  </si>
  <si>
    <t>G038</t>
  </si>
  <si>
    <t>G039</t>
  </si>
  <si>
    <t>G040</t>
  </si>
  <si>
    <t>G041</t>
  </si>
  <si>
    <t>G042</t>
  </si>
  <si>
    <t>G043</t>
  </si>
  <si>
    <t>G044</t>
  </si>
  <si>
    <t>G045</t>
  </si>
  <si>
    <t>G046</t>
  </si>
  <si>
    <t>G047</t>
  </si>
  <si>
    <t>G048</t>
  </si>
  <si>
    <t>G049</t>
  </si>
  <si>
    <t>G050</t>
  </si>
  <si>
    <t>G051</t>
  </si>
  <si>
    <t>G052</t>
  </si>
  <si>
    <t>G053</t>
  </si>
  <si>
    <t>G054</t>
  </si>
  <si>
    <t>G055</t>
  </si>
  <si>
    <t>G056</t>
  </si>
  <si>
    <t>G057</t>
  </si>
  <si>
    <t>G058</t>
  </si>
  <si>
    <t>G059</t>
  </si>
  <si>
    <t>G060</t>
  </si>
  <si>
    <t>G061</t>
  </si>
  <si>
    <t>G062</t>
  </si>
  <si>
    <t>G063</t>
  </si>
  <si>
    <t>G064</t>
  </si>
  <si>
    <t>G065</t>
  </si>
  <si>
    <t>G066</t>
  </si>
  <si>
    <t>G067</t>
  </si>
  <si>
    <t>G068</t>
  </si>
  <si>
    <t>G069</t>
  </si>
  <si>
    <t>G070</t>
  </si>
  <si>
    <t>G071</t>
  </si>
  <si>
    <t>G072</t>
  </si>
  <si>
    <t>G073</t>
  </si>
  <si>
    <t>G074</t>
  </si>
  <si>
    <t>G075</t>
  </si>
  <si>
    <t>G076</t>
  </si>
  <si>
    <t>G077</t>
  </si>
  <si>
    <t>G078</t>
  </si>
  <si>
    <t>G079</t>
  </si>
  <si>
    <t>G080</t>
  </si>
  <si>
    <t>G081</t>
  </si>
  <si>
    <t>G082</t>
  </si>
  <si>
    <t>G083</t>
  </si>
  <si>
    <t>G084</t>
  </si>
  <si>
    <t>G085</t>
  </si>
  <si>
    <t>G086</t>
  </si>
  <si>
    <t>G087</t>
  </si>
  <si>
    <t>G088</t>
  </si>
  <si>
    <t>G089</t>
  </si>
  <si>
    <t>G090</t>
  </si>
  <si>
    <t>G091</t>
  </si>
  <si>
    <t>G092</t>
  </si>
  <si>
    <t>G093</t>
  </si>
  <si>
    <t>G094</t>
  </si>
  <si>
    <t>G095</t>
  </si>
  <si>
    <t>G096</t>
  </si>
  <si>
    <t>G097</t>
  </si>
  <si>
    <t>G098</t>
  </si>
  <si>
    <t>G099</t>
  </si>
  <si>
    <t>G100</t>
  </si>
  <si>
    <t>ENGLISH LANGUAGE - TERM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</si>
</sst>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"/>
  </numFmts>
  <fonts count="1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Poppins"/>
    </font>
    <font>
      <sz val="14"/>
      <color theme="1"/>
      <name val="Calibri"/>
      <family val="2"/>
      <scheme val="minor"/>
    </font>
    <font>
      <b/>
      <sz val="12"/>
      <color theme="1"/>
      <name val="Poppins"/>
    </font>
    <font>
      <sz val="12"/>
      <color theme="1"/>
      <name val="Poppins"/>
    </font>
    <font>
      <b/>
      <sz val="12"/>
      <color theme="0"/>
      <name val="Poppins"/>
    </font>
    <font>
      <b/>
      <sz val="14"/>
      <color theme="0"/>
      <name val="Poppins"/>
    </font>
    <font>
      <b/>
      <sz val="12"/>
      <color rgb="FF7030A0"/>
      <name val="Poppins"/>
    </font>
    <font>
      <b/>
      <sz val="12"/>
      <color rgb="FF00B050"/>
      <name val="Poppins"/>
    </font>
    <font>
      <b/>
      <sz val="12"/>
      <color rgb="FF00B0F0"/>
      <name val="Poppins"/>
    </font>
    <font>
      <b/>
      <sz val="12"/>
      <color rgb="FF0070C0"/>
      <name val="Poppins"/>
    </font>
    <font>
      <sz val="8"/>
      <name val="Calibri"/>
      <family val="2"/>
      <scheme val="minor"/>
    </font>
    <font>
      <sz val="28"/>
      <color rgb="FF00B0F0"/>
      <name val="Poppins ExtraBold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2" fillId="0" borderId="0" xfId="0" applyFont="1" applyAlignment="1">
      <alignment horizontal="left"/>
    </xf>
    <xf numFmtId="0" fontId="2" fillId="0" borderId="0" xfId="0" applyFont="1"/>
    <xf numFmtId="164" fontId="11" fillId="0" borderId="2" xfId="0" applyNumberFormat="1" applyFont="1" applyBorder="1"/>
    <xf numFmtId="0" fontId="9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164" fontId="4" fillId="0" borderId="3" xfId="0" applyNumberFormat="1" applyFont="1" applyBorder="1"/>
    <xf numFmtId="0" fontId="11" fillId="0" borderId="2" xfId="0" applyFont="1" applyBorder="1" applyProtection="1">
      <protection locked="0"/>
    </xf>
    <xf numFmtId="0" fontId="11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4" fillId="0" borderId="3" xfId="0" applyFont="1" applyBorder="1" applyAlignment="1">
      <alignment horizontal="center"/>
    </xf>
    <xf numFmtId="0" fontId="11" fillId="0" borderId="4" xfId="0" applyFont="1" applyBorder="1" applyProtection="1">
      <protection locked="0"/>
    </xf>
    <xf numFmtId="0" fontId="11" fillId="0" borderId="4" xfId="0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>
      <alignment horizontal="center"/>
    </xf>
    <xf numFmtId="0" fontId="7" fillId="3" borderId="1" xfId="0" applyFont="1" applyFill="1" applyBorder="1" applyAlignment="1">
      <alignment horizontal="centerContinuous" vertical="center"/>
    </xf>
    <xf numFmtId="0" fontId="6" fillId="3" borderId="1" xfId="0" applyFont="1" applyFill="1" applyBorder="1" applyAlignment="1">
      <alignment horizontal="centerContinuous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3" fillId="2" borderId="0" xfId="0" applyFont="1" applyFill="1" applyAlignment="1">
      <alignment horizontal="left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border outline="0">
        <top style="medium">
          <color rgb="FFFFFFFF"/>
        </top>
        <bottom style="thin">
          <color rgb="FF000000"/>
        </bottom>
      </border>
    </dxf>
    <dxf>
      <border outline="0">
        <bottom style="medium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Poppins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border outline="0">
        <top style="medium">
          <color rgb="FFFFFFFF"/>
        </top>
        <bottom style="thin">
          <color rgb="FF000000"/>
        </bottom>
      </border>
    </dxf>
    <dxf>
      <border outline="0">
        <bottom style="medium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Poppins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border outline="0">
        <top style="medium">
          <color rgb="FFFFFFFF"/>
        </top>
        <bottom style="thin">
          <color rgb="FF000000"/>
        </bottom>
      </border>
    </dxf>
    <dxf>
      <border outline="0">
        <bottom style="medium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Poppins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/>
        <bottom/>
      </border>
      <protection locked="1" hidden="0"/>
    </dxf>
  </dxfs>
  <tableStyles count="0" defaultTableStyle="TableStyleMedium2" defaultPivotStyle="PivotStyleLight16"/>
  <colors>
    <mruColors>
      <color rgb="FFFB5607"/>
      <color rgb="FF107C41"/>
      <color rgb="FF8338EC"/>
      <color rgb="FF3A86FF"/>
      <color rgb="FF474647"/>
      <color rgb="FF97CC04"/>
      <color rgb="FFFF006E"/>
      <color rgb="FFFFBE0B"/>
      <color rgb="FF820263"/>
      <color rgb="FF04A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Assessment\2025-2026\JHS\J1\Summary%20Sheet.xlsx" TargetMode="External"/><Relationship Id="rId1" Type="http://schemas.openxmlformats.org/officeDocument/2006/relationships/externalLinkPath" Target="Summary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558da841e129f57f" itemId="558da841e129f57f!140834">
      <xxl21:absoluteUrl r:id="rId2"/>
    </xxl21:alternateUrls>
    <sheetNames>
      <sheetName val="KRAFTXL"/>
      <sheetName val="KXL Guide"/>
      <sheetName val="Start"/>
      <sheetName val="Term 1 Summary Sheet"/>
      <sheetName val="Term 2 Summary Sheet"/>
      <sheetName val="Term 3 Summary Sheet"/>
      <sheetName val="Report Card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2C9611-12DA-4D2F-9599-5AB7CF489A20}" name="Table4234" displayName="Table4234" ref="A3:R104" totalsRowShown="0" headerRowDxfId="62" headerRowBorderDxfId="61" tableBorderDxfId="60">
  <autoFilter ref="A3:R104" xr:uid="{995D3921-174B-48C1-A6E3-1E763DBA53CE}"/>
  <tableColumns count="18">
    <tableColumn id="1" xr3:uid="{460169A3-9687-45DC-BDA3-35EF7B8B83CD}" name=" ID#" dataDxfId="59"/>
    <tableColumn id="2" xr3:uid="{68D9EC7D-81DA-4C91-8FD9-387D2F7AED38}" name="STUDENT NAME" dataDxfId="58">
      <calculatedColumnFormula>'[1]Term 1 Summary Sheet'!$B4</calculatedColumnFormula>
    </tableColumn>
    <tableColumn id="12" xr3:uid="{2AF8BF97-F001-43BA-8E7C-6519D38D2120}" name="Week 1" dataDxfId="57"/>
    <tableColumn id="14" xr3:uid="{0010CD2D-A428-4913-9316-B5636970064E}" name="Week 2" dataDxfId="56"/>
    <tableColumn id="11" xr3:uid="{0E818CFE-6638-456C-B77D-FBBC47190206}" name="Week 3" dataDxfId="55"/>
    <tableColumn id="3" xr3:uid="{1F4D9A14-9F11-42FF-8BAC-343DD951FD3C}" name="Week 4" dataDxfId="54"/>
    <tableColumn id="4" xr3:uid="{C3D80D33-54C0-418C-AAF7-E3498AAEC94E}" name="Week 5" dataDxfId="53"/>
    <tableColumn id="5" xr3:uid="{8549F095-566E-4025-83C5-89B669EFED8F}" name="Week 6" dataDxfId="52"/>
    <tableColumn id="13" xr3:uid="{1BA97369-6D17-4E5E-9955-1D65A37F89BB}" name="Week 7" dataDxfId="51"/>
    <tableColumn id="15" xr3:uid="{B5C36227-5D24-4375-9D74-7237EBEA250D}" name="Week 8" dataDxfId="50"/>
    <tableColumn id="16" xr3:uid="{5F9AAC98-F1B3-4461-B31D-982B220BB6B9}" name="Week 9" dataDxfId="49"/>
    <tableColumn id="17" xr3:uid="{0FB43F29-9FBB-4359-8AC7-7F6931F9B45F}" name="Week 10" dataDxfId="48"/>
    <tableColumn id="7" xr3:uid="{2F6CEDE9-74CE-49A4-A610-0A240E079F2A}" name="CLASS RAW SCORE" dataDxfId="47">
      <calculatedColumnFormula>SUM(C4:L4)</calculatedColumnFormula>
    </tableColumn>
    <tableColumn id="8" xr3:uid="{B2CB4ABD-D772-491F-859A-1064C22D71A4}" name="CLASS  SCORE(50%)" dataDxfId="46">
      <calculatedColumnFormula>M4/100 *50</calculatedColumnFormula>
    </tableColumn>
    <tableColumn id="9" xr3:uid="{17B540A7-603E-4322-9564-F80182AC02E3}" name="EXAM RAW SCORE" dataDxfId="45"/>
    <tableColumn id="22" xr3:uid="{CCB67D63-6310-4109-9F8F-E513ADA9260F}" name="EXAM SCORE(50%)" dataDxfId="44">
      <calculatedColumnFormula>O4/100 *50</calculatedColumnFormula>
    </tableColumn>
    <tableColumn id="10" xr3:uid="{40E2C5B2-E412-4610-BF51-FE7CCEA5D250}" name="TOTAL SCORE(100%)" dataDxfId="43">
      <calculatedColumnFormula>SUM(N4,P4)</calculatedColumnFormula>
    </tableColumn>
    <tableColumn id="24" xr3:uid="{048125DA-81B8-4E0A-A181-7CD1C61BF70C}" name="Position" dataDxfId="42">
      <calculatedColumnFormula>_xlfn.RANK.EQ(AO21,$AO$4:$AO$103,)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146D34-4192-4EFD-A7D6-37DE57509FEE}" name="Table42342" displayName="Table42342" ref="A3:R104" totalsRowShown="0" headerRowDxfId="41" headerRowBorderDxfId="40" tableBorderDxfId="39">
  <autoFilter ref="A3:R104" xr:uid="{995D3921-174B-48C1-A6E3-1E763DBA53CE}"/>
  <tableColumns count="18">
    <tableColumn id="1" xr3:uid="{998FBF0F-0AF6-44A7-B41D-B15BE9F6BC10}" name=" ID#" dataDxfId="38"/>
    <tableColumn id="2" xr3:uid="{CF7FA3E8-3FB9-42A9-8D64-6387AA65C939}" name="STUDENT NAME" dataDxfId="37">
      <calculatedColumnFormula>'[1]Term 1 Summary Sheet'!$B4</calculatedColumnFormula>
    </tableColumn>
    <tableColumn id="12" xr3:uid="{187FE47E-9C15-4B9D-9622-CAD01979ED4B}" name="Week 1" dataDxfId="36"/>
    <tableColumn id="14" xr3:uid="{EE5BAAE6-26BF-4008-9CA3-CF28D74F4735}" name="Week 2" dataDxfId="35"/>
    <tableColumn id="11" xr3:uid="{06282D79-B33A-4FA0-B3B2-BA93041C60D7}" name="Week 3" dataDxfId="34"/>
    <tableColumn id="3" xr3:uid="{7E360DF1-7038-4223-BD75-573EFBB4DFC7}" name="Week 4" dataDxfId="33"/>
    <tableColumn id="4" xr3:uid="{B5801B90-755F-4A7B-8AB1-256937D3AE16}" name="Week 5" dataDxfId="32"/>
    <tableColumn id="5" xr3:uid="{43806B06-5CE6-445D-A23D-F7DBAD6491C8}" name="Week 6" dataDxfId="31"/>
    <tableColumn id="13" xr3:uid="{7EFA56FD-8B82-489C-9AFC-A50381EC8C0D}" name="Week 7" dataDxfId="30"/>
    <tableColumn id="15" xr3:uid="{F556F516-9B38-4631-8E40-C76CACF50EE7}" name="Week 8" dataDxfId="29"/>
    <tableColumn id="16" xr3:uid="{EAF45B60-884F-4E43-B2AC-4C73DA7D553B}" name="Week 9" dataDxfId="28"/>
    <tableColumn id="17" xr3:uid="{D7BA9F06-A9F4-4DA8-B45D-755748C8F90B}" name="Week 10" dataDxfId="27"/>
    <tableColumn id="7" xr3:uid="{E076845B-EC38-45BB-AF1B-BCDF8D2C36BA}" name="CLASS RAW SCORE" dataDxfId="26">
      <calculatedColumnFormula>SUM(C4:L4)</calculatedColumnFormula>
    </tableColumn>
    <tableColumn id="8" xr3:uid="{14C1D67C-B22E-48C7-86D0-414D1312F224}" name="CLASS  SCORE(50%)" dataDxfId="25">
      <calculatedColumnFormula>M4/100 *50</calculatedColumnFormula>
    </tableColumn>
    <tableColumn id="9" xr3:uid="{E60E2F9D-ECCD-4683-92A3-18C39B68CF2E}" name="EXAM RAW SCORE" dataDxfId="24"/>
    <tableColumn id="22" xr3:uid="{6B1275DE-E591-4EB7-9C8C-3D634A9C980A}" name="EXAM SCORE(50%)" dataDxfId="23">
      <calculatedColumnFormula>O4/100 *50</calculatedColumnFormula>
    </tableColumn>
    <tableColumn id="10" xr3:uid="{AB5087ED-C1B7-4E76-9FBB-8A2F4BD6F3CF}" name="TOTAL SCORE(100%)" dataDxfId="22">
      <calculatedColumnFormula>SUM(N4,P4)</calculatedColumnFormula>
    </tableColumn>
    <tableColumn id="24" xr3:uid="{02ACEF75-8D76-488F-99F5-C73B86401FCA}" name="Position" dataDxfId="21">
      <calculatedColumnFormula>_xlfn.RANK.EQ(AO21,$AO$4:$AO$103,)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852B56-6800-4092-908A-512C76812EC4}" name="Table423423" displayName="Table423423" ref="A3:R104" totalsRowShown="0" headerRowDxfId="20" headerRowBorderDxfId="19" tableBorderDxfId="18">
  <autoFilter ref="A3:R104" xr:uid="{995D3921-174B-48C1-A6E3-1E763DBA53CE}"/>
  <tableColumns count="18">
    <tableColumn id="1" xr3:uid="{3FDD5F8C-D351-467B-9D2F-F2911B82C651}" name=" ID#" dataDxfId="17"/>
    <tableColumn id="2" xr3:uid="{A8E6C4F9-623D-4EB3-B124-D0CF0FC0B5DE}" name="STUDENT NAME" dataDxfId="16">
      <calculatedColumnFormula>'[1]Term 1 Summary Sheet'!$B4</calculatedColumnFormula>
    </tableColumn>
    <tableColumn id="12" xr3:uid="{C96B00D9-E436-4C57-9F67-A77BEBF6B2BF}" name="Week 1" dataDxfId="15"/>
    <tableColumn id="14" xr3:uid="{1CDEF200-7EED-44BE-8210-D825FC934896}" name="Week 2" dataDxfId="14"/>
    <tableColumn id="11" xr3:uid="{E852B010-C3E1-4074-8074-BEED2F917094}" name="Week 3" dataDxfId="13"/>
    <tableColumn id="3" xr3:uid="{AEC71A49-85BA-4C01-B4DC-816052B5137C}" name="Week 4" dataDxfId="12"/>
    <tableColumn id="4" xr3:uid="{47FFC5CD-78BC-42DA-8171-EDEE8CB5F71F}" name="Week 5" dataDxfId="11"/>
    <tableColumn id="5" xr3:uid="{1201C2D5-3210-4658-A087-7AECB8C17D63}" name="Week 6" dataDxfId="10"/>
    <tableColumn id="13" xr3:uid="{4D638032-587E-45AE-80D7-EE9D83BD2246}" name="Week 7" dataDxfId="9"/>
    <tableColumn id="15" xr3:uid="{D04DDEAE-E169-4303-B439-2B2E7776896D}" name="Week 8" dataDxfId="8"/>
    <tableColumn id="16" xr3:uid="{76786A15-0159-4CD6-9198-50410AE596B0}" name="Week 9" dataDxfId="7"/>
    <tableColumn id="17" xr3:uid="{72443A7C-A11D-4DC2-A900-ACB71620D607}" name="Week 10" dataDxfId="6"/>
    <tableColumn id="7" xr3:uid="{0B9DFAF8-8F4B-463A-A29B-340897605B3E}" name="CLASS RAW SCORE" dataDxfId="5">
      <calculatedColumnFormula>SUM(C4:L4)</calculatedColumnFormula>
    </tableColumn>
    <tableColumn id="8" xr3:uid="{5AC6A602-D2CA-42C7-BFA1-8E6E39D971B7}" name="CLASS  SCORE(50%)" dataDxfId="4">
      <calculatedColumnFormula>M4/100 *50</calculatedColumnFormula>
    </tableColumn>
    <tableColumn id="9" xr3:uid="{4A345D03-D3C9-4947-A4CA-FE5BB604086E}" name="EXAM RAW SCORE" dataDxfId="3"/>
    <tableColumn id="22" xr3:uid="{5E5A4F8D-F815-4CB5-8DE0-27E958E1DEA2}" name="EXAM SCORE(50%)" dataDxfId="2">
      <calculatedColumnFormula>O4/100 *50</calculatedColumnFormula>
    </tableColumn>
    <tableColumn id="10" xr3:uid="{D144D94F-63B4-4C3C-9393-8B9F6F0CBDF0}" name="TOTAL SCORE(100%)" dataDxfId="1">
      <calculatedColumnFormula>SUM(N4,P4)</calculatedColumnFormula>
    </tableColumn>
    <tableColumn id="24" xr3:uid="{37E86CBF-CACB-445D-A68A-CB2AF5C53C16}" name="Position" dataDxfId="0">
      <calculatedColumnFormula>_xlfn.RANK.EQ(AO21,$AO$4:$AO$103,)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C6D95-2798-40F8-955F-B8D9A504804C}">
  <sheetPr>
    <tabColor rgb="FF00B0F0"/>
  </sheetPr>
  <dimension ref="A1:R108"/>
  <sheetViews>
    <sheetView tabSelected="1" zoomScale="80" zoomScaleNormal="80" workbookViewId="0">
      <pane xSplit="2" ySplit="3" topLeftCell="C4" activePane="bottomRight" state="frozen"/>
      <selection pane="topRight" activeCell="P3" sqref="P3"/>
      <selection pane="bottomLeft" activeCell="P3" sqref="P3"/>
      <selection pane="bottomRight" activeCell="C5" sqref="C5"/>
    </sheetView>
  </sheetViews>
  <sheetFormatPr defaultRowHeight="14.4" x14ac:dyDescent="0.3"/>
  <cols>
    <col min="1" max="1" width="13.88671875" style="2" customWidth="1"/>
    <col min="2" max="2" width="71.44140625" bestFit="1" customWidth="1"/>
    <col min="3" max="7" width="20.6640625" customWidth="1"/>
    <col min="8" max="12" width="25.109375" customWidth="1"/>
    <col min="13" max="13" width="24.44140625" customWidth="1"/>
    <col min="14" max="14" width="25.88671875" customWidth="1"/>
    <col min="15" max="15" width="21.109375" bestFit="1" customWidth="1"/>
    <col min="16" max="16" width="21.109375" customWidth="1"/>
    <col min="17" max="17" width="23.44140625" bestFit="1" customWidth="1"/>
    <col min="18" max="18" width="21.109375" customWidth="1"/>
  </cols>
  <sheetData>
    <row r="1" spans="1:18" ht="60" customHeight="1" x14ac:dyDescent="1.8">
      <c r="A1" s="31" t="s">
        <v>118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31.5" customHeight="1" x14ac:dyDescent="0.35">
      <c r="A2" s="4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8" s="1" customFormat="1" ht="48" customHeight="1" thickBot="1" x14ac:dyDescent="0.35">
      <c r="A3" s="23" t="s">
        <v>0</v>
      </c>
      <c r="B3" s="23" t="s">
        <v>1</v>
      </c>
      <c r="C3" s="24" t="s">
        <v>2</v>
      </c>
      <c r="D3" s="24" t="s">
        <v>3</v>
      </c>
      <c r="E3" s="24" t="s">
        <v>4</v>
      </c>
      <c r="F3" s="25" t="s">
        <v>5</v>
      </c>
      <c r="G3" s="25" t="s">
        <v>6</v>
      </c>
      <c r="H3" s="25" t="s">
        <v>7</v>
      </c>
      <c r="I3" s="25" t="s">
        <v>8</v>
      </c>
      <c r="J3" s="25" t="s">
        <v>9</v>
      </c>
      <c r="K3" s="25" t="s">
        <v>10</v>
      </c>
      <c r="L3" s="25" t="s">
        <v>11</v>
      </c>
      <c r="M3" s="26" t="s">
        <v>12</v>
      </c>
      <c r="N3" s="26" t="s">
        <v>13</v>
      </c>
      <c r="O3" s="26" t="s">
        <v>14</v>
      </c>
      <c r="P3" s="26" t="s">
        <v>15</v>
      </c>
      <c r="Q3" s="26" t="s">
        <v>16</v>
      </c>
      <c r="R3" s="26" t="s">
        <v>17</v>
      </c>
    </row>
    <row r="4" spans="1:18" ht="31.5" customHeight="1" x14ac:dyDescent="0.85">
      <c r="A4" s="13"/>
      <c r="B4" s="14"/>
      <c r="C4" s="27">
        <v>10</v>
      </c>
      <c r="D4" s="27">
        <v>10</v>
      </c>
      <c r="E4" s="27">
        <v>10</v>
      </c>
      <c r="F4" s="27">
        <v>10</v>
      </c>
      <c r="G4" s="27">
        <v>10</v>
      </c>
      <c r="H4" s="27">
        <v>10</v>
      </c>
      <c r="I4" s="27">
        <v>10</v>
      </c>
      <c r="J4" s="27">
        <v>10</v>
      </c>
      <c r="K4" s="27">
        <v>10</v>
      </c>
      <c r="L4" s="27">
        <v>10</v>
      </c>
      <c r="M4" s="9">
        <f t="shared" ref="M4:M35" si="0">SUM(C4:L4)</f>
        <v>100</v>
      </c>
      <c r="N4" s="10">
        <f t="shared" ref="N4:N35" si="1">M4/100 *50</f>
        <v>50</v>
      </c>
      <c r="O4" s="9">
        <v>100</v>
      </c>
      <c r="P4" s="10">
        <f t="shared" ref="P4" si="2">O4/100 *50</f>
        <v>50</v>
      </c>
      <c r="Q4" s="11">
        <f t="shared" ref="Q4:Q67" si="3">SUM(N4,P4)</f>
        <v>100</v>
      </c>
      <c r="R4" s="11"/>
    </row>
    <row r="5" spans="1:18" ht="31.5" customHeight="1" x14ac:dyDescent="0.85">
      <c r="A5" s="12" t="s">
        <v>18</v>
      </c>
      <c r="B5" s="8">
        <f>'[1]Term 1 Summary Sheet'!$B$5</f>
        <v>0</v>
      </c>
      <c r="C5" s="15"/>
      <c r="D5" s="15"/>
      <c r="E5" s="15"/>
      <c r="F5" s="16"/>
      <c r="G5" s="16"/>
      <c r="H5" s="16"/>
      <c r="I5" s="16"/>
      <c r="J5" s="16"/>
      <c r="K5" s="16"/>
      <c r="L5" s="16"/>
      <c r="M5" s="9">
        <f t="shared" si="0"/>
        <v>0</v>
      </c>
      <c r="N5" s="10">
        <f t="shared" si="1"/>
        <v>0</v>
      </c>
      <c r="O5" s="17"/>
      <c r="P5" s="10">
        <f t="shared" ref="P5:P36" si="4">O5/100 *50</f>
        <v>0</v>
      </c>
      <c r="Q5" s="11">
        <f t="shared" si="3"/>
        <v>0</v>
      </c>
      <c r="R5" s="18">
        <f>_xlfn.RANK.EQ(Q5,$Q$5:$Q$104,)</f>
        <v>1</v>
      </c>
    </row>
    <row r="6" spans="1:18" ht="31.5" customHeight="1" x14ac:dyDescent="0.85">
      <c r="A6" s="12" t="s">
        <v>19</v>
      </c>
      <c r="B6" s="8">
        <f>'[1]Term 1 Summary Sheet'!$B$6</f>
        <v>0</v>
      </c>
      <c r="C6" s="15"/>
      <c r="D6" s="15"/>
      <c r="E6" s="15"/>
      <c r="F6" s="16"/>
      <c r="G6" s="16"/>
      <c r="H6" s="16"/>
      <c r="I6" s="16"/>
      <c r="J6" s="16"/>
      <c r="K6" s="16"/>
      <c r="L6" s="16"/>
      <c r="M6" s="9">
        <f t="shared" si="0"/>
        <v>0</v>
      </c>
      <c r="N6" s="10">
        <f t="shared" si="1"/>
        <v>0</v>
      </c>
      <c r="O6" s="17"/>
      <c r="P6" s="10">
        <f t="shared" si="4"/>
        <v>0</v>
      </c>
      <c r="Q6" s="11">
        <f t="shared" si="3"/>
        <v>0</v>
      </c>
      <c r="R6" s="18">
        <f t="shared" ref="R6:R69" si="5">_xlfn.RANK.EQ(Q6,$Q$5:$Q$104,)</f>
        <v>1</v>
      </c>
    </row>
    <row r="7" spans="1:18" ht="31.5" customHeight="1" x14ac:dyDescent="0.85">
      <c r="A7" s="12" t="s">
        <v>20</v>
      </c>
      <c r="B7" s="8">
        <f>'[1]Term 1 Summary Sheet'!$B$7</f>
        <v>0</v>
      </c>
      <c r="C7" s="15"/>
      <c r="D7" s="15"/>
      <c r="E7" s="15"/>
      <c r="F7" s="16"/>
      <c r="G7" s="16"/>
      <c r="H7" s="16"/>
      <c r="I7" s="16"/>
      <c r="J7" s="16"/>
      <c r="K7" s="16"/>
      <c r="L7" s="16"/>
      <c r="M7" s="9">
        <f t="shared" si="0"/>
        <v>0</v>
      </c>
      <c r="N7" s="10">
        <f t="shared" si="1"/>
        <v>0</v>
      </c>
      <c r="O7" s="17"/>
      <c r="P7" s="10">
        <f t="shared" si="4"/>
        <v>0</v>
      </c>
      <c r="Q7" s="11">
        <f t="shared" si="3"/>
        <v>0</v>
      </c>
      <c r="R7" s="18">
        <f t="shared" si="5"/>
        <v>1</v>
      </c>
    </row>
    <row r="8" spans="1:18" ht="31.5" customHeight="1" x14ac:dyDescent="0.85">
      <c r="A8" s="12" t="s">
        <v>21</v>
      </c>
      <c r="B8" s="8">
        <f>'[1]Term 1 Summary Sheet'!$B$8</f>
        <v>0</v>
      </c>
      <c r="C8" s="15"/>
      <c r="D8" s="15"/>
      <c r="E8" s="15"/>
      <c r="F8" s="16"/>
      <c r="G8" s="16"/>
      <c r="H8" s="16"/>
      <c r="I8" s="16"/>
      <c r="J8" s="16"/>
      <c r="K8" s="16"/>
      <c r="L8" s="16"/>
      <c r="M8" s="9">
        <f t="shared" si="0"/>
        <v>0</v>
      </c>
      <c r="N8" s="10">
        <f t="shared" si="1"/>
        <v>0</v>
      </c>
      <c r="O8" s="17"/>
      <c r="P8" s="10">
        <f t="shared" si="4"/>
        <v>0</v>
      </c>
      <c r="Q8" s="11">
        <f t="shared" si="3"/>
        <v>0</v>
      </c>
      <c r="R8" s="18">
        <f t="shared" si="5"/>
        <v>1</v>
      </c>
    </row>
    <row r="9" spans="1:18" ht="31.5" customHeight="1" x14ac:dyDescent="0.85">
      <c r="A9" s="12" t="s">
        <v>22</v>
      </c>
      <c r="B9" s="8">
        <f>'[1]Term 1 Summary Sheet'!$B$9</f>
        <v>0</v>
      </c>
      <c r="C9" s="15"/>
      <c r="D9" s="15"/>
      <c r="E9" s="15"/>
      <c r="F9" s="16"/>
      <c r="G9" s="16"/>
      <c r="H9" s="16"/>
      <c r="I9" s="16"/>
      <c r="J9" s="16"/>
      <c r="K9" s="16"/>
      <c r="L9" s="16"/>
      <c r="M9" s="9">
        <f t="shared" si="0"/>
        <v>0</v>
      </c>
      <c r="N9" s="10">
        <f t="shared" si="1"/>
        <v>0</v>
      </c>
      <c r="O9" s="17"/>
      <c r="P9" s="10">
        <f t="shared" si="4"/>
        <v>0</v>
      </c>
      <c r="Q9" s="11">
        <f t="shared" si="3"/>
        <v>0</v>
      </c>
      <c r="R9" s="18">
        <f t="shared" si="5"/>
        <v>1</v>
      </c>
    </row>
    <row r="10" spans="1:18" ht="31.5" customHeight="1" x14ac:dyDescent="0.85">
      <c r="A10" s="12" t="s">
        <v>23</v>
      </c>
      <c r="B10" s="8">
        <f>'[1]Term 1 Summary Sheet'!$B$10</f>
        <v>0</v>
      </c>
      <c r="C10" s="15"/>
      <c r="D10" s="15"/>
      <c r="E10" s="15"/>
      <c r="F10" s="16"/>
      <c r="G10" s="16"/>
      <c r="H10" s="16"/>
      <c r="I10" s="16"/>
      <c r="J10" s="16"/>
      <c r="K10" s="16"/>
      <c r="L10" s="16"/>
      <c r="M10" s="9">
        <f t="shared" si="0"/>
        <v>0</v>
      </c>
      <c r="N10" s="10">
        <f t="shared" si="1"/>
        <v>0</v>
      </c>
      <c r="O10" s="17"/>
      <c r="P10" s="10">
        <f t="shared" si="4"/>
        <v>0</v>
      </c>
      <c r="Q10" s="11">
        <f t="shared" si="3"/>
        <v>0</v>
      </c>
      <c r="R10" s="18">
        <f t="shared" si="5"/>
        <v>1</v>
      </c>
    </row>
    <row r="11" spans="1:18" ht="31.5" customHeight="1" x14ac:dyDescent="0.85">
      <c r="A11" s="12" t="s">
        <v>24</v>
      </c>
      <c r="B11" s="8">
        <f>'[1]Term 1 Summary Sheet'!$B$11</f>
        <v>0</v>
      </c>
      <c r="C11" s="15"/>
      <c r="D11" s="15"/>
      <c r="E11" s="15"/>
      <c r="F11" s="16"/>
      <c r="G11" s="16"/>
      <c r="H11" s="16"/>
      <c r="I11" s="16"/>
      <c r="J11" s="16"/>
      <c r="K11" s="16"/>
      <c r="L11" s="16"/>
      <c r="M11" s="9">
        <f t="shared" si="0"/>
        <v>0</v>
      </c>
      <c r="N11" s="10">
        <f t="shared" si="1"/>
        <v>0</v>
      </c>
      <c r="O11" s="17"/>
      <c r="P11" s="10">
        <f t="shared" si="4"/>
        <v>0</v>
      </c>
      <c r="Q11" s="11">
        <f t="shared" si="3"/>
        <v>0</v>
      </c>
      <c r="R11" s="18">
        <f t="shared" si="5"/>
        <v>1</v>
      </c>
    </row>
    <row r="12" spans="1:18" ht="31.5" customHeight="1" x14ac:dyDescent="0.85">
      <c r="A12" s="12" t="s">
        <v>25</v>
      </c>
      <c r="B12" s="8">
        <f>'[1]Term 1 Summary Sheet'!$B$12</f>
        <v>0</v>
      </c>
      <c r="C12" s="15"/>
      <c r="D12" s="15"/>
      <c r="E12" s="15"/>
      <c r="F12" s="16"/>
      <c r="G12" s="16"/>
      <c r="H12" s="16"/>
      <c r="I12" s="16"/>
      <c r="J12" s="16"/>
      <c r="K12" s="16"/>
      <c r="L12" s="16"/>
      <c r="M12" s="9">
        <f t="shared" si="0"/>
        <v>0</v>
      </c>
      <c r="N12" s="10">
        <f t="shared" si="1"/>
        <v>0</v>
      </c>
      <c r="O12" s="17"/>
      <c r="P12" s="10">
        <f t="shared" si="4"/>
        <v>0</v>
      </c>
      <c r="Q12" s="11">
        <f t="shared" si="3"/>
        <v>0</v>
      </c>
      <c r="R12" s="18">
        <f t="shared" si="5"/>
        <v>1</v>
      </c>
    </row>
    <row r="13" spans="1:18" ht="31.5" customHeight="1" x14ac:dyDescent="0.85">
      <c r="A13" s="12" t="s">
        <v>26</v>
      </c>
      <c r="B13" s="8">
        <f>'[1]Term 1 Summary Sheet'!$B$13</f>
        <v>0</v>
      </c>
      <c r="C13" s="15"/>
      <c r="D13" s="15"/>
      <c r="E13" s="15"/>
      <c r="F13" s="16"/>
      <c r="G13" s="16"/>
      <c r="H13" s="16"/>
      <c r="I13" s="16"/>
      <c r="J13" s="16"/>
      <c r="K13" s="16"/>
      <c r="L13" s="16"/>
      <c r="M13" s="9">
        <f t="shared" si="0"/>
        <v>0</v>
      </c>
      <c r="N13" s="10">
        <f t="shared" si="1"/>
        <v>0</v>
      </c>
      <c r="O13" s="17"/>
      <c r="P13" s="10">
        <f t="shared" si="4"/>
        <v>0</v>
      </c>
      <c r="Q13" s="11">
        <f t="shared" si="3"/>
        <v>0</v>
      </c>
      <c r="R13" s="18">
        <f t="shared" si="5"/>
        <v>1</v>
      </c>
    </row>
    <row r="14" spans="1:18" ht="31.5" customHeight="1" x14ac:dyDescent="0.85">
      <c r="A14" s="12" t="s">
        <v>27</v>
      </c>
      <c r="B14" s="8">
        <f>'[1]Term 1 Summary Sheet'!$B$14</f>
        <v>0</v>
      </c>
      <c r="C14" s="15"/>
      <c r="D14" s="15"/>
      <c r="E14" s="15"/>
      <c r="F14" s="16"/>
      <c r="G14" s="16"/>
      <c r="H14" s="16"/>
      <c r="I14" s="16"/>
      <c r="J14" s="16"/>
      <c r="K14" s="16"/>
      <c r="L14" s="16"/>
      <c r="M14" s="9">
        <f t="shared" si="0"/>
        <v>0</v>
      </c>
      <c r="N14" s="10">
        <f t="shared" si="1"/>
        <v>0</v>
      </c>
      <c r="O14" s="17"/>
      <c r="P14" s="10">
        <f t="shared" si="4"/>
        <v>0</v>
      </c>
      <c r="Q14" s="11">
        <f t="shared" si="3"/>
        <v>0</v>
      </c>
      <c r="R14" s="18">
        <f t="shared" si="5"/>
        <v>1</v>
      </c>
    </row>
    <row r="15" spans="1:18" ht="31.5" customHeight="1" x14ac:dyDescent="0.85">
      <c r="A15" s="12" t="s">
        <v>28</v>
      </c>
      <c r="B15" s="8">
        <f>'[1]Term 1 Summary Sheet'!$B$15</f>
        <v>0</v>
      </c>
      <c r="C15" s="15"/>
      <c r="D15" s="15"/>
      <c r="E15" s="15"/>
      <c r="F15" s="16"/>
      <c r="G15" s="16"/>
      <c r="H15" s="16"/>
      <c r="I15" s="16"/>
      <c r="J15" s="16"/>
      <c r="K15" s="16"/>
      <c r="L15" s="16"/>
      <c r="M15" s="9">
        <f t="shared" si="0"/>
        <v>0</v>
      </c>
      <c r="N15" s="10">
        <f t="shared" si="1"/>
        <v>0</v>
      </c>
      <c r="O15" s="17"/>
      <c r="P15" s="10">
        <f t="shared" si="4"/>
        <v>0</v>
      </c>
      <c r="Q15" s="11">
        <f t="shared" si="3"/>
        <v>0</v>
      </c>
      <c r="R15" s="18">
        <f t="shared" si="5"/>
        <v>1</v>
      </c>
    </row>
    <row r="16" spans="1:18" ht="31.5" customHeight="1" x14ac:dyDescent="0.85">
      <c r="A16" s="12" t="s">
        <v>29</v>
      </c>
      <c r="B16" s="8">
        <f>'[1]Term 1 Summary Sheet'!$B$16</f>
        <v>0</v>
      </c>
      <c r="C16" s="15"/>
      <c r="D16" s="15"/>
      <c r="E16" s="15"/>
      <c r="F16" s="16"/>
      <c r="G16" s="16"/>
      <c r="H16" s="16"/>
      <c r="I16" s="16"/>
      <c r="J16" s="16"/>
      <c r="K16" s="16"/>
      <c r="L16" s="16"/>
      <c r="M16" s="9">
        <f t="shared" si="0"/>
        <v>0</v>
      </c>
      <c r="N16" s="10">
        <f t="shared" si="1"/>
        <v>0</v>
      </c>
      <c r="O16" s="17"/>
      <c r="P16" s="10">
        <f t="shared" si="4"/>
        <v>0</v>
      </c>
      <c r="Q16" s="11">
        <f t="shared" si="3"/>
        <v>0</v>
      </c>
      <c r="R16" s="18">
        <f t="shared" si="5"/>
        <v>1</v>
      </c>
    </row>
    <row r="17" spans="1:18" ht="31.5" customHeight="1" x14ac:dyDescent="0.85">
      <c r="A17" s="12" t="s">
        <v>30</v>
      </c>
      <c r="B17" s="8">
        <f>'[1]Term 1 Summary Sheet'!$B$17</f>
        <v>0</v>
      </c>
      <c r="C17" s="15"/>
      <c r="D17" s="15"/>
      <c r="E17" s="15"/>
      <c r="F17" s="16"/>
      <c r="G17" s="16"/>
      <c r="H17" s="16"/>
      <c r="I17" s="16"/>
      <c r="J17" s="16"/>
      <c r="K17" s="16"/>
      <c r="L17" s="16"/>
      <c r="M17" s="9">
        <f t="shared" si="0"/>
        <v>0</v>
      </c>
      <c r="N17" s="10">
        <f t="shared" si="1"/>
        <v>0</v>
      </c>
      <c r="O17" s="17"/>
      <c r="P17" s="10">
        <f t="shared" si="4"/>
        <v>0</v>
      </c>
      <c r="Q17" s="11">
        <f t="shared" si="3"/>
        <v>0</v>
      </c>
      <c r="R17" s="18">
        <f t="shared" si="5"/>
        <v>1</v>
      </c>
    </row>
    <row r="18" spans="1:18" ht="31.5" customHeight="1" x14ac:dyDescent="0.85">
      <c r="A18" s="12" t="s">
        <v>31</v>
      </c>
      <c r="B18" s="8">
        <f>'[1]Term 1 Summary Sheet'!$B$18</f>
        <v>0</v>
      </c>
      <c r="C18" s="15"/>
      <c r="D18" s="15"/>
      <c r="E18" s="15"/>
      <c r="F18" s="16"/>
      <c r="G18" s="16"/>
      <c r="H18" s="16"/>
      <c r="I18" s="16"/>
      <c r="J18" s="16"/>
      <c r="K18" s="16"/>
      <c r="L18" s="16"/>
      <c r="M18" s="9">
        <f t="shared" si="0"/>
        <v>0</v>
      </c>
      <c r="N18" s="10">
        <f t="shared" si="1"/>
        <v>0</v>
      </c>
      <c r="O18" s="17"/>
      <c r="P18" s="10">
        <f t="shared" si="4"/>
        <v>0</v>
      </c>
      <c r="Q18" s="11">
        <f t="shared" si="3"/>
        <v>0</v>
      </c>
      <c r="R18" s="18">
        <f t="shared" si="5"/>
        <v>1</v>
      </c>
    </row>
    <row r="19" spans="1:18" ht="31.5" customHeight="1" x14ac:dyDescent="0.85">
      <c r="A19" s="12" t="s">
        <v>32</v>
      </c>
      <c r="B19" s="8">
        <f>'[1]Term 1 Summary Sheet'!$B$19</f>
        <v>0</v>
      </c>
      <c r="C19" s="15"/>
      <c r="D19" s="15"/>
      <c r="E19" s="15"/>
      <c r="F19" s="16"/>
      <c r="G19" s="16"/>
      <c r="H19" s="16"/>
      <c r="I19" s="16"/>
      <c r="J19" s="16"/>
      <c r="K19" s="16"/>
      <c r="L19" s="16"/>
      <c r="M19" s="9">
        <f t="shared" si="0"/>
        <v>0</v>
      </c>
      <c r="N19" s="10">
        <f t="shared" si="1"/>
        <v>0</v>
      </c>
      <c r="O19" s="17"/>
      <c r="P19" s="10">
        <f t="shared" si="4"/>
        <v>0</v>
      </c>
      <c r="Q19" s="11">
        <f t="shared" si="3"/>
        <v>0</v>
      </c>
      <c r="R19" s="18">
        <f t="shared" si="5"/>
        <v>1</v>
      </c>
    </row>
    <row r="20" spans="1:18" ht="31.5" customHeight="1" x14ac:dyDescent="0.85">
      <c r="A20" s="12" t="s">
        <v>33</v>
      </c>
      <c r="B20" s="8">
        <f>'[1]Term 1 Summary Sheet'!$B$20</f>
        <v>0</v>
      </c>
      <c r="C20" s="15"/>
      <c r="D20" s="15"/>
      <c r="E20" s="15"/>
      <c r="F20" s="16"/>
      <c r="G20" s="16"/>
      <c r="H20" s="16"/>
      <c r="I20" s="16"/>
      <c r="J20" s="16"/>
      <c r="K20" s="16"/>
      <c r="L20" s="16"/>
      <c r="M20" s="9">
        <f t="shared" si="0"/>
        <v>0</v>
      </c>
      <c r="N20" s="10">
        <f t="shared" si="1"/>
        <v>0</v>
      </c>
      <c r="O20" s="17"/>
      <c r="P20" s="10">
        <f t="shared" si="4"/>
        <v>0</v>
      </c>
      <c r="Q20" s="11">
        <f t="shared" si="3"/>
        <v>0</v>
      </c>
      <c r="R20" s="18">
        <f t="shared" si="5"/>
        <v>1</v>
      </c>
    </row>
    <row r="21" spans="1:18" ht="31.5" customHeight="1" x14ac:dyDescent="0.85">
      <c r="A21" s="12" t="s">
        <v>34</v>
      </c>
      <c r="B21" s="8">
        <f>'[1]Term 1 Summary Sheet'!$B$21</f>
        <v>0</v>
      </c>
      <c r="C21" s="15"/>
      <c r="D21" s="15"/>
      <c r="E21" s="15"/>
      <c r="F21" s="16"/>
      <c r="G21" s="16"/>
      <c r="H21" s="16"/>
      <c r="I21" s="16"/>
      <c r="J21" s="16"/>
      <c r="K21" s="16"/>
      <c r="L21" s="16"/>
      <c r="M21" s="9">
        <f t="shared" si="0"/>
        <v>0</v>
      </c>
      <c r="N21" s="10">
        <f t="shared" si="1"/>
        <v>0</v>
      </c>
      <c r="O21" s="17"/>
      <c r="P21" s="10">
        <f t="shared" si="4"/>
        <v>0</v>
      </c>
      <c r="Q21" s="11">
        <f t="shared" si="3"/>
        <v>0</v>
      </c>
      <c r="R21" s="18">
        <f t="shared" si="5"/>
        <v>1</v>
      </c>
    </row>
    <row r="22" spans="1:18" ht="31.5" customHeight="1" x14ac:dyDescent="0.85">
      <c r="A22" s="12" t="s">
        <v>35</v>
      </c>
      <c r="B22" s="8">
        <f>'[1]Term 1 Summary Sheet'!$B$22</f>
        <v>0</v>
      </c>
      <c r="C22" s="15"/>
      <c r="D22" s="15"/>
      <c r="E22" s="15"/>
      <c r="F22" s="16"/>
      <c r="G22" s="16"/>
      <c r="H22" s="16"/>
      <c r="I22" s="16"/>
      <c r="J22" s="16"/>
      <c r="K22" s="16"/>
      <c r="L22" s="16"/>
      <c r="M22" s="9">
        <f t="shared" si="0"/>
        <v>0</v>
      </c>
      <c r="N22" s="10">
        <f t="shared" si="1"/>
        <v>0</v>
      </c>
      <c r="O22" s="17"/>
      <c r="P22" s="10">
        <f t="shared" si="4"/>
        <v>0</v>
      </c>
      <c r="Q22" s="11">
        <f t="shared" si="3"/>
        <v>0</v>
      </c>
      <c r="R22" s="18">
        <f t="shared" si="5"/>
        <v>1</v>
      </c>
    </row>
    <row r="23" spans="1:18" ht="31.5" customHeight="1" x14ac:dyDescent="0.85">
      <c r="A23" s="12" t="s">
        <v>36</v>
      </c>
      <c r="B23" s="8">
        <f>'[1]Term 1 Summary Sheet'!$B$23</f>
        <v>0</v>
      </c>
      <c r="C23" s="15"/>
      <c r="D23" s="15"/>
      <c r="E23" s="15"/>
      <c r="F23" s="16"/>
      <c r="G23" s="16"/>
      <c r="H23" s="16"/>
      <c r="I23" s="16"/>
      <c r="J23" s="16"/>
      <c r="K23" s="16"/>
      <c r="L23" s="16"/>
      <c r="M23" s="9">
        <f t="shared" si="0"/>
        <v>0</v>
      </c>
      <c r="N23" s="10">
        <f t="shared" si="1"/>
        <v>0</v>
      </c>
      <c r="O23" s="17"/>
      <c r="P23" s="10">
        <f t="shared" si="4"/>
        <v>0</v>
      </c>
      <c r="Q23" s="11">
        <f t="shared" si="3"/>
        <v>0</v>
      </c>
      <c r="R23" s="18">
        <f t="shared" si="5"/>
        <v>1</v>
      </c>
    </row>
    <row r="24" spans="1:18" ht="31.5" customHeight="1" x14ac:dyDescent="0.85">
      <c r="A24" s="12" t="s">
        <v>37</v>
      </c>
      <c r="B24" s="8">
        <f>'[1]Term 1 Summary Sheet'!$B$24</f>
        <v>0</v>
      </c>
      <c r="C24" s="15"/>
      <c r="D24" s="15"/>
      <c r="E24" s="15"/>
      <c r="F24" s="16"/>
      <c r="G24" s="16"/>
      <c r="H24" s="16"/>
      <c r="I24" s="16"/>
      <c r="J24" s="16"/>
      <c r="K24" s="16"/>
      <c r="L24" s="16"/>
      <c r="M24" s="9">
        <f t="shared" si="0"/>
        <v>0</v>
      </c>
      <c r="N24" s="10">
        <f t="shared" si="1"/>
        <v>0</v>
      </c>
      <c r="O24" s="17"/>
      <c r="P24" s="10">
        <f t="shared" si="4"/>
        <v>0</v>
      </c>
      <c r="Q24" s="11">
        <f t="shared" si="3"/>
        <v>0</v>
      </c>
      <c r="R24" s="18">
        <f t="shared" si="5"/>
        <v>1</v>
      </c>
    </row>
    <row r="25" spans="1:18" ht="31.5" customHeight="1" x14ac:dyDescent="0.85">
      <c r="A25" s="12" t="s">
        <v>38</v>
      </c>
      <c r="B25" s="8">
        <f>'[1]Term 1 Summary Sheet'!$B$25</f>
        <v>0</v>
      </c>
      <c r="C25" s="15"/>
      <c r="D25" s="15"/>
      <c r="E25" s="15"/>
      <c r="F25" s="16"/>
      <c r="G25" s="16"/>
      <c r="H25" s="16"/>
      <c r="I25" s="16"/>
      <c r="J25" s="16"/>
      <c r="K25" s="16"/>
      <c r="L25" s="16"/>
      <c r="M25" s="9">
        <f t="shared" si="0"/>
        <v>0</v>
      </c>
      <c r="N25" s="10">
        <f t="shared" si="1"/>
        <v>0</v>
      </c>
      <c r="O25" s="17"/>
      <c r="P25" s="10">
        <f t="shared" si="4"/>
        <v>0</v>
      </c>
      <c r="Q25" s="11">
        <f t="shared" si="3"/>
        <v>0</v>
      </c>
      <c r="R25" s="18">
        <f t="shared" si="5"/>
        <v>1</v>
      </c>
    </row>
    <row r="26" spans="1:18" ht="31.5" customHeight="1" x14ac:dyDescent="0.85">
      <c r="A26" s="12" t="s">
        <v>39</v>
      </c>
      <c r="B26" s="8">
        <f>'[1]Term 1 Summary Sheet'!$B$26</f>
        <v>0</v>
      </c>
      <c r="C26" s="15"/>
      <c r="D26" s="15"/>
      <c r="E26" s="15"/>
      <c r="F26" s="16"/>
      <c r="G26" s="16"/>
      <c r="H26" s="16"/>
      <c r="I26" s="16"/>
      <c r="J26" s="16"/>
      <c r="K26" s="16"/>
      <c r="L26" s="16"/>
      <c r="M26" s="9">
        <f t="shared" si="0"/>
        <v>0</v>
      </c>
      <c r="N26" s="10">
        <f t="shared" si="1"/>
        <v>0</v>
      </c>
      <c r="O26" s="17"/>
      <c r="P26" s="10">
        <f t="shared" si="4"/>
        <v>0</v>
      </c>
      <c r="Q26" s="11">
        <f t="shared" si="3"/>
        <v>0</v>
      </c>
      <c r="R26" s="18">
        <f t="shared" si="5"/>
        <v>1</v>
      </c>
    </row>
    <row r="27" spans="1:18" ht="31.5" customHeight="1" x14ac:dyDescent="0.85">
      <c r="A27" s="12" t="s">
        <v>40</v>
      </c>
      <c r="B27" s="8">
        <f>'[1]Term 1 Summary Sheet'!$B$27</f>
        <v>0</v>
      </c>
      <c r="C27" s="15"/>
      <c r="D27" s="15"/>
      <c r="E27" s="15"/>
      <c r="F27" s="16"/>
      <c r="G27" s="16"/>
      <c r="H27" s="16"/>
      <c r="I27" s="16"/>
      <c r="J27" s="16"/>
      <c r="K27" s="16"/>
      <c r="L27" s="16"/>
      <c r="M27" s="9">
        <f t="shared" si="0"/>
        <v>0</v>
      </c>
      <c r="N27" s="10">
        <f t="shared" si="1"/>
        <v>0</v>
      </c>
      <c r="O27" s="17"/>
      <c r="P27" s="10">
        <f t="shared" si="4"/>
        <v>0</v>
      </c>
      <c r="Q27" s="11">
        <f t="shared" si="3"/>
        <v>0</v>
      </c>
      <c r="R27" s="18">
        <f t="shared" si="5"/>
        <v>1</v>
      </c>
    </row>
    <row r="28" spans="1:18" ht="31.5" customHeight="1" x14ac:dyDescent="0.85">
      <c r="A28" s="12" t="s">
        <v>41</v>
      </c>
      <c r="B28" s="8">
        <f>'[1]Term 1 Summary Sheet'!$B$28</f>
        <v>0</v>
      </c>
      <c r="C28" s="15"/>
      <c r="D28" s="15"/>
      <c r="E28" s="15"/>
      <c r="F28" s="16"/>
      <c r="G28" s="16"/>
      <c r="H28" s="16"/>
      <c r="I28" s="16"/>
      <c r="J28" s="16"/>
      <c r="K28" s="16"/>
      <c r="L28" s="16"/>
      <c r="M28" s="9">
        <f t="shared" si="0"/>
        <v>0</v>
      </c>
      <c r="N28" s="10">
        <f t="shared" si="1"/>
        <v>0</v>
      </c>
      <c r="O28" s="17"/>
      <c r="P28" s="10">
        <f t="shared" si="4"/>
        <v>0</v>
      </c>
      <c r="Q28" s="11">
        <f t="shared" si="3"/>
        <v>0</v>
      </c>
      <c r="R28" s="18">
        <f t="shared" si="5"/>
        <v>1</v>
      </c>
    </row>
    <row r="29" spans="1:18" ht="31.5" customHeight="1" x14ac:dyDescent="0.85">
      <c r="A29" s="12" t="s">
        <v>42</v>
      </c>
      <c r="B29" s="8">
        <f>'[1]Term 1 Summary Sheet'!$B$29</f>
        <v>0</v>
      </c>
      <c r="C29" s="15"/>
      <c r="D29" s="15"/>
      <c r="E29" s="15"/>
      <c r="F29" s="16"/>
      <c r="G29" s="16"/>
      <c r="H29" s="16"/>
      <c r="I29" s="16"/>
      <c r="J29" s="16"/>
      <c r="K29" s="16"/>
      <c r="L29" s="16"/>
      <c r="M29" s="9">
        <f t="shared" si="0"/>
        <v>0</v>
      </c>
      <c r="N29" s="10">
        <f t="shared" si="1"/>
        <v>0</v>
      </c>
      <c r="O29" s="17"/>
      <c r="P29" s="10">
        <f t="shared" si="4"/>
        <v>0</v>
      </c>
      <c r="Q29" s="11">
        <f t="shared" si="3"/>
        <v>0</v>
      </c>
      <c r="R29" s="18">
        <f t="shared" si="5"/>
        <v>1</v>
      </c>
    </row>
    <row r="30" spans="1:18" ht="31.5" customHeight="1" x14ac:dyDescent="0.85">
      <c r="A30" s="12" t="s">
        <v>43</v>
      </c>
      <c r="B30" s="8">
        <f>'[1]Term 1 Summary Sheet'!$B$30</f>
        <v>0</v>
      </c>
      <c r="C30" s="15"/>
      <c r="D30" s="15"/>
      <c r="E30" s="15"/>
      <c r="F30" s="16"/>
      <c r="G30" s="16"/>
      <c r="H30" s="16"/>
      <c r="I30" s="16"/>
      <c r="J30" s="16"/>
      <c r="K30" s="16"/>
      <c r="L30" s="16"/>
      <c r="M30" s="9">
        <f t="shared" si="0"/>
        <v>0</v>
      </c>
      <c r="N30" s="10">
        <f t="shared" si="1"/>
        <v>0</v>
      </c>
      <c r="O30" s="17"/>
      <c r="P30" s="10">
        <f t="shared" si="4"/>
        <v>0</v>
      </c>
      <c r="Q30" s="11">
        <f t="shared" si="3"/>
        <v>0</v>
      </c>
      <c r="R30" s="18">
        <f t="shared" si="5"/>
        <v>1</v>
      </c>
    </row>
    <row r="31" spans="1:18" ht="31.5" customHeight="1" x14ac:dyDescent="0.85">
      <c r="A31" s="12" t="s">
        <v>44</v>
      </c>
      <c r="B31" s="8">
        <f>'[1]Term 1 Summary Sheet'!$B$31</f>
        <v>0</v>
      </c>
      <c r="C31" s="15"/>
      <c r="D31" s="15"/>
      <c r="E31" s="15"/>
      <c r="F31" s="16"/>
      <c r="G31" s="16"/>
      <c r="H31" s="16"/>
      <c r="I31" s="16"/>
      <c r="J31" s="16"/>
      <c r="K31" s="16"/>
      <c r="L31" s="16"/>
      <c r="M31" s="9">
        <f t="shared" si="0"/>
        <v>0</v>
      </c>
      <c r="N31" s="10">
        <f t="shared" si="1"/>
        <v>0</v>
      </c>
      <c r="O31" s="17"/>
      <c r="P31" s="10">
        <f t="shared" si="4"/>
        <v>0</v>
      </c>
      <c r="Q31" s="11">
        <f t="shared" si="3"/>
        <v>0</v>
      </c>
      <c r="R31" s="18">
        <f t="shared" si="5"/>
        <v>1</v>
      </c>
    </row>
    <row r="32" spans="1:18" ht="31.5" customHeight="1" x14ac:dyDescent="0.85">
      <c r="A32" s="12" t="s">
        <v>45</v>
      </c>
      <c r="B32" s="8">
        <f>'[1]Term 1 Summary Sheet'!$B$32</f>
        <v>0</v>
      </c>
      <c r="C32" s="15"/>
      <c r="D32" s="15"/>
      <c r="E32" s="15"/>
      <c r="F32" s="16"/>
      <c r="G32" s="16"/>
      <c r="H32" s="16"/>
      <c r="I32" s="16"/>
      <c r="J32" s="16"/>
      <c r="K32" s="16"/>
      <c r="L32" s="16"/>
      <c r="M32" s="9">
        <f t="shared" si="0"/>
        <v>0</v>
      </c>
      <c r="N32" s="10">
        <f t="shared" si="1"/>
        <v>0</v>
      </c>
      <c r="O32" s="17"/>
      <c r="P32" s="10">
        <f t="shared" si="4"/>
        <v>0</v>
      </c>
      <c r="Q32" s="11">
        <f t="shared" si="3"/>
        <v>0</v>
      </c>
      <c r="R32" s="18">
        <f t="shared" si="5"/>
        <v>1</v>
      </c>
    </row>
    <row r="33" spans="1:18" ht="31.5" customHeight="1" x14ac:dyDescent="0.85">
      <c r="A33" s="12" t="s">
        <v>46</v>
      </c>
      <c r="B33" s="8">
        <f>'[1]Term 1 Summary Sheet'!$B$33</f>
        <v>0</v>
      </c>
      <c r="C33" s="15"/>
      <c r="D33" s="15"/>
      <c r="E33" s="15"/>
      <c r="F33" s="16"/>
      <c r="G33" s="16"/>
      <c r="H33" s="16"/>
      <c r="I33" s="16"/>
      <c r="J33" s="16"/>
      <c r="K33" s="16"/>
      <c r="L33" s="16"/>
      <c r="M33" s="9">
        <f t="shared" si="0"/>
        <v>0</v>
      </c>
      <c r="N33" s="10">
        <f t="shared" si="1"/>
        <v>0</v>
      </c>
      <c r="O33" s="17"/>
      <c r="P33" s="10">
        <f t="shared" si="4"/>
        <v>0</v>
      </c>
      <c r="Q33" s="11">
        <f t="shared" si="3"/>
        <v>0</v>
      </c>
      <c r="R33" s="18">
        <f t="shared" si="5"/>
        <v>1</v>
      </c>
    </row>
    <row r="34" spans="1:18" ht="31.5" customHeight="1" x14ac:dyDescent="0.85">
      <c r="A34" s="12" t="s">
        <v>47</v>
      </c>
      <c r="B34" s="8">
        <f>'[1]Term 1 Summary Sheet'!$B$34</f>
        <v>0</v>
      </c>
      <c r="C34" s="15"/>
      <c r="D34" s="15"/>
      <c r="E34" s="15"/>
      <c r="F34" s="16"/>
      <c r="G34" s="16"/>
      <c r="H34" s="16"/>
      <c r="I34" s="16"/>
      <c r="J34" s="16"/>
      <c r="K34" s="16"/>
      <c r="L34" s="16"/>
      <c r="M34" s="9">
        <f t="shared" si="0"/>
        <v>0</v>
      </c>
      <c r="N34" s="10">
        <f t="shared" si="1"/>
        <v>0</v>
      </c>
      <c r="O34" s="17"/>
      <c r="P34" s="10">
        <f t="shared" si="4"/>
        <v>0</v>
      </c>
      <c r="Q34" s="11">
        <f t="shared" si="3"/>
        <v>0</v>
      </c>
      <c r="R34" s="18">
        <f t="shared" si="5"/>
        <v>1</v>
      </c>
    </row>
    <row r="35" spans="1:18" ht="31.5" customHeight="1" x14ac:dyDescent="0.85">
      <c r="A35" s="12" t="s">
        <v>48</v>
      </c>
      <c r="B35" s="8">
        <f>'[1]Term 1 Summary Sheet'!$B$35</f>
        <v>0</v>
      </c>
      <c r="C35" s="15"/>
      <c r="D35" s="15"/>
      <c r="E35" s="15"/>
      <c r="F35" s="16"/>
      <c r="G35" s="16"/>
      <c r="H35" s="16"/>
      <c r="I35" s="16"/>
      <c r="J35" s="16"/>
      <c r="K35" s="16"/>
      <c r="L35" s="16"/>
      <c r="M35" s="9">
        <f t="shared" si="0"/>
        <v>0</v>
      </c>
      <c r="N35" s="10">
        <f t="shared" si="1"/>
        <v>0</v>
      </c>
      <c r="O35" s="17"/>
      <c r="P35" s="10">
        <f t="shared" si="4"/>
        <v>0</v>
      </c>
      <c r="Q35" s="11">
        <f t="shared" si="3"/>
        <v>0</v>
      </c>
      <c r="R35" s="18">
        <f t="shared" si="5"/>
        <v>1</v>
      </c>
    </row>
    <row r="36" spans="1:18" ht="31.5" customHeight="1" x14ac:dyDescent="0.85">
      <c r="A36" s="12" t="s">
        <v>49</v>
      </c>
      <c r="B36" s="8">
        <f>'[1]Term 1 Summary Sheet'!$B$36</f>
        <v>0</v>
      </c>
      <c r="C36" s="15"/>
      <c r="D36" s="15"/>
      <c r="E36" s="15"/>
      <c r="F36" s="16"/>
      <c r="G36" s="16"/>
      <c r="H36" s="16"/>
      <c r="I36" s="16"/>
      <c r="J36" s="16"/>
      <c r="K36" s="16"/>
      <c r="L36" s="16"/>
      <c r="M36" s="9">
        <f t="shared" ref="M36:M67" si="6">SUM(C36:L36)</f>
        <v>0</v>
      </c>
      <c r="N36" s="10">
        <f t="shared" ref="N36:N67" si="7">M36/100 *50</f>
        <v>0</v>
      </c>
      <c r="O36" s="17"/>
      <c r="P36" s="10">
        <f t="shared" si="4"/>
        <v>0</v>
      </c>
      <c r="Q36" s="11">
        <f t="shared" si="3"/>
        <v>0</v>
      </c>
      <c r="R36" s="18">
        <f t="shared" si="5"/>
        <v>1</v>
      </c>
    </row>
    <row r="37" spans="1:18" ht="31.5" customHeight="1" x14ac:dyDescent="0.85">
      <c r="A37" s="12" t="s">
        <v>50</v>
      </c>
      <c r="B37" s="8">
        <f>'[1]Term 1 Summary Sheet'!$B$37</f>
        <v>0</v>
      </c>
      <c r="C37" s="15"/>
      <c r="D37" s="15"/>
      <c r="E37" s="15"/>
      <c r="F37" s="16"/>
      <c r="G37" s="16"/>
      <c r="H37" s="16"/>
      <c r="I37" s="16"/>
      <c r="J37" s="16"/>
      <c r="K37" s="16"/>
      <c r="L37" s="16"/>
      <c r="M37" s="9">
        <f t="shared" si="6"/>
        <v>0</v>
      </c>
      <c r="N37" s="10">
        <f t="shared" si="7"/>
        <v>0</v>
      </c>
      <c r="O37" s="17"/>
      <c r="P37" s="10">
        <f t="shared" ref="P37:P68" si="8">O37/100 *50</f>
        <v>0</v>
      </c>
      <c r="Q37" s="11">
        <f t="shared" si="3"/>
        <v>0</v>
      </c>
      <c r="R37" s="18">
        <f t="shared" si="5"/>
        <v>1</v>
      </c>
    </row>
    <row r="38" spans="1:18" ht="31.5" customHeight="1" x14ac:dyDescent="0.85">
      <c r="A38" s="12" t="s">
        <v>51</v>
      </c>
      <c r="B38" s="8">
        <f>'[1]Term 1 Summary Sheet'!$B$38</f>
        <v>0</v>
      </c>
      <c r="C38" s="15"/>
      <c r="D38" s="15"/>
      <c r="E38" s="15"/>
      <c r="F38" s="16"/>
      <c r="G38" s="16"/>
      <c r="H38" s="16"/>
      <c r="I38" s="16"/>
      <c r="J38" s="16"/>
      <c r="K38" s="16"/>
      <c r="L38" s="16"/>
      <c r="M38" s="9">
        <f t="shared" si="6"/>
        <v>0</v>
      </c>
      <c r="N38" s="10">
        <f t="shared" si="7"/>
        <v>0</v>
      </c>
      <c r="O38" s="17"/>
      <c r="P38" s="10">
        <f t="shared" si="8"/>
        <v>0</v>
      </c>
      <c r="Q38" s="11">
        <f t="shared" si="3"/>
        <v>0</v>
      </c>
      <c r="R38" s="18">
        <f t="shared" si="5"/>
        <v>1</v>
      </c>
    </row>
    <row r="39" spans="1:18" ht="31.5" customHeight="1" x14ac:dyDescent="0.85">
      <c r="A39" s="12" t="s">
        <v>52</v>
      </c>
      <c r="B39" s="8">
        <f>'[1]Term 1 Summary Sheet'!$B$39</f>
        <v>0</v>
      </c>
      <c r="C39" s="15"/>
      <c r="D39" s="15"/>
      <c r="E39" s="15"/>
      <c r="F39" s="16"/>
      <c r="G39" s="16"/>
      <c r="H39" s="16"/>
      <c r="I39" s="16"/>
      <c r="J39" s="16"/>
      <c r="K39" s="16"/>
      <c r="L39" s="16"/>
      <c r="M39" s="9">
        <f t="shared" si="6"/>
        <v>0</v>
      </c>
      <c r="N39" s="10">
        <f t="shared" si="7"/>
        <v>0</v>
      </c>
      <c r="O39" s="17"/>
      <c r="P39" s="10">
        <f t="shared" si="8"/>
        <v>0</v>
      </c>
      <c r="Q39" s="11">
        <f t="shared" si="3"/>
        <v>0</v>
      </c>
      <c r="R39" s="18">
        <f t="shared" si="5"/>
        <v>1</v>
      </c>
    </row>
    <row r="40" spans="1:18" ht="31.5" customHeight="1" x14ac:dyDescent="0.85">
      <c r="A40" s="12" t="s">
        <v>53</v>
      </c>
      <c r="B40" s="8">
        <f>'[1]Term 1 Summary Sheet'!$B$40</f>
        <v>0</v>
      </c>
      <c r="C40" s="15"/>
      <c r="D40" s="15"/>
      <c r="E40" s="15"/>
      <c r="F40" s="16"/>
      <c r="G40" s="16"/>
      <c r="H40" s="16"/>
      <c r="I40" s="16"/>
      <c r="J40" s="16"/>
      <c r="K40" s="16"/>
      <c r="L40" s="16"/>
      <c r="M40" s="9">
        <f t="shared" si="6"/>
        <v>0</v>
      </c>
      <c r="N40" s="10">
        <f t="shared" si="7"/>
        <v>0</v>
      </c>
      <c r="O40" s="17"/>
      <c r="P40" s="10">
        <f t="shared" si="8"/>
        <v>0</v>
      </c>
      <c r="Q40" s="11">
        <f t="shared" si="3"/>
        <v>0</v>
      </c>
      <c r="R40" s="18">
        <f t="shared" si="5"/>
        <v>1</v>
      </c>
    </row>
    <row r="41" spans="1:18" ht="31.5" customHeight="1" x14ac:dyDescent="0.85">
      <c r="A41" s="12" t="s">
        <v>54</v>
      </c>
      <c r="B41" s="8">
        <f>'[1]Term 1 Summary Sheet'!$B$41</f>
        <v>0</v>
      </c>
      <c r="C41" s="15"/>
      <c r="D41" s="15"/>
      <c r="E41" s="15"/>
      <c r="F41" s="16"/>
      <c r="G41" s="16"/>
      <c r="H41" s="16"/>
      <c r="I41" s="16"/>
      <c r="J41" s="16"/>
      <c r="K41" s="16"/>
      <c r="L41" s="16"/>
      <c r="M41" s="9">
        <f t="shared" si="6"/>
        <v>0</v>
      </c>
      <c r="N41" s="10">
        <f t="shared" si="7"/>
        <v>0</v>
      </c>
      <c r="O41" s="17"/>
      <c r="P41" s="10">
        <f t="shared" si="8"/>
        <v>0</v>
      </c>
      <c r="Q41" s="11">
        <f t="shared" si="3"/>
        <v>0</v>
      </c>
      <c r="R41" s="18">
        <f t="shared" si="5"/>
        <v>1</v>
      </c>
    </row>
    <row r="42" spans="1:18" ht="31.5" customHeight="1" x14ac:dyDescent="0.85">
      <c r="A42" s="12" t="s">
        <v>55</v>
      </c>
      <c r="B42" s="8">
        <f>'[1]Term 1 Summary Sheet'!$B$42</f>
        <v>0</v>
      </c>
      <c r="C42" s="15"/>
      <c r="D42" s="15"/>
      <c r="E42" s="15"/>
      <c r="F42" s="16"/>
      <c r="G42" s="16"/>
      <c r="H42" s="16"/>
      <c r="I42" s="16"/>
      <c r="J42" s="16"/>
      <c r="K42" s="16"/>
      <c r="L42" s="16"/>
      <c r="M42" s="9">
        <f t="shared" si="6"/>
        <v>0</v>
      </c>
      <c r="N42" s="10">
        <f t="shared" si="7"/>
        <v>0</v>
      </c>
      <c r="O42" s="17"/>
      <c r="P42" s="10">
        <f t="shared" si="8"/>
        <v>0</v>
      </c>
      <c r="Q42" s="11">
        <f t="shared" si="3"/>
        <v>0</v>
      </c>
      <c r="R42" s="18">
        <f t="shared" si="5"/>
        <v>1</v>
      </c>
    </row>
    <row r="43" spans="1:18" ht="31.5" customHeight="1" x14ac:dyDescent="0.85">
      <c r="A43" s="12" t="s">
        <v>56</v>
      </c>
      <c r="B43" s="8">
        <f>'[1]Term 1 Summary Sheet'!$B$43</f>
        <v>0</v>
      </c>
      <c r="C43" s="15"/>
      <c r="D43" s="15"/>
      <c r="E43" s="15"/>
      <c r="F43" s="16"/>
      <c r="G43" s="16"/>
      <c r="H43" s="16"/>
      <c r="I43" s="16"/>
      <c r="J43" s="16"/>
      <c r="K43" s="16"/>
      <c r="L43" s="16"/>
      <c r="M43" s="9">
        <f t="shared" si="6"/>
        <v>0</v>
      </c>
      <c r="N43" s="10">
        <f t="shared" si="7"/>
        <v>0</v>
      </c>
      <c r="O43" s="17"/>
      <c r="P43" s="10">
        <f t="shared" si="8"/>
        <v>0</v>
      </c>
      <c r="Q43" s="11">
        <f t="shared" si="3"/>
        <v>0</v>
      </c>
      <c r="R43" s="18">
        <f t="shared" si="5"/>
        <v>1</v>
      </c>
    </row>
    <row r="44" spans="1:18" ht="31.5" customHeight="1" x14ac:dyDescent="0.85">
      <c r="A44" s="12" t="s">
        <v>57</v>
      </c>
      <c r="B44" s="8">
        <f>'[1]Term 1 Summary Sheet'!$B$44</f>
        <v>0</v>
      </c>
      <c r="C44" s="15"/>
      <c r="D44" s="15"/>
      <c r="E44" s="15"/>
      <c r="F44" s="16"/>
      <c r="G44" s="16"/>
      <c r="H44" s="16"/>
      <c r="I44" s="16"/>
      <c r="J44" s="16"/>
      <c r="K44" s="16"/>
      <c r="L44" s="16"/>
      <c r="M44" s="9">
        <f t="shared" si="6"/>
        <v>0</v>
      </c>
      <c r="N44" s="10">
        <f t="shared" si="7"/>
        <v>0</v>
      </c>
      <c r="O44" s="17"/>
      <c r="P44" s="10">
        <f t="shared" si="8"/>
        <v>0</v>
      </c>
      <c r="Q44" s="11">
        <f t="shared" si="3"/>
        <v>0</v>
      </c>
      <c r="R44" s="18">
        <f t="shared" si="5"/>
        <v>1</v>
      </c>
    </row>
    <row r="45" spans="1:18" ht="31.5" customHeight="1" x14ac:dyDescent="0.85">
      <c r="A45" s="12" t="s">
        <v>58</v>
      </c>
      <c r="B45" s="8">
        <f>'[1]Term 1 Summary Sheet'!$B$45</f>
        <v>0</v>
      </c>
      <c r="C45" s="15"/>
      <c r="D45" s="15"/>
      <c r="E45" s="15"/>
      <c r="F45" s="16"/>
      <c r="G45" s="16"/>
      <c r="H45" s="16"/>
      <c r="I45" s="16"/>
      <c r="J45" s="16"/>
      <c r="K45" s="16"/>
      <c r="L45" s="16"/>
      <c r="M45" s="9">
        <f t="shared" si="6"/>
        <v>0</v>
      </c>
      <c r="N45" s="10">
        <f t="shared" si="7"/>
        <v>0</v>
      </c>
      <c r="O45" s="17"/>
      <c r="P45" s="10">
        <f t="shared" si="8"/>
        <v>0</v>
      </c>
      <c r="Q45" s="11">
        <f t="shared" si="3"/>
        <v>0</v>
      </c>
      <c r="R45" s="18">
        <f t="shared" si="5"/>
        <v>1</v>
      </c>
    </row>
    <row r="46" spans="1:18" ht="31.5" customHeight="1" x14ac:dyDescent="0.85">
      <c r="A46" s="12" t="s">
        <v>59</v>
      </c>
      <c r="B46" s="8">
        <f>'[1]Term 1 Summary Sheet'!$B$46</f>
        <v>0</v>
      </c>
      <c r="C46" s="15"/>
      <c r="D46" s="15"/>
      <c r="E46" s="15"/>
      <c r="F46" s="16"/>
      <c r="G46" s="16"/>
      <c r="H46" s="16"/>
      <c r="I46" s="16"/>
      <c r="J46" s="16"/>
      <c r="K46" s="16"/>
      <c r="L46" s="16"/>
      <c r="M46" s="9">
        <f t="shared" si="6"/>
        <v>0</v>
      </c>
      <c r="N46" s="10">
        <f t="shared" si="7"/>
        <v>0</v>
      </c>
      <c r="O46" s="17"/>
      <c r="P46" s="10">
        <f t="shared" si="8"/>
        <v>0</v>
      </c>
      <c r="Q46" s="11">
        <f t="shared" si="3"/>
        <v>0</v>
      </c>
      <c r="R46" s="18">
        <f t="shared" si="5"/>
        <v>1</v>
      </c>
    </row>
    <row r="47" spans="1:18" ht="31.5" customHeight="1" x14ac:dyDescent="0.85">
      <c r="A47" s="12" t="s">
        <v>60</v>
      </c>
      <c r="B47" s="8">
        <f>'[1]Term 1 Summary Sheet'!$B$47</f>
        <v>0</v>
      </c>
      <c r="C47" s="15"/>
      <c r="D47" s="15"/>
      <c r="E47" s="15"/>
      <c r="F47" s="16"/>
      <c r="G47" s="16"/>
      <c r="H47" s="16"/>
      <c r="I47" s="16"/>
      <c r="J47" s="16"/>
      <c r="K47" s="16"/>
      <c r="L47" s="16"/>
      <c r="M47" s="9">
        <f t="shared" si="6"/>
        <v>0</v>
      </c>
      <c r="N47" s="10">
        <f t="shared" si="7"/>
        <v>0</v>
      </c>
      <c r="O47" s="17"/>
      <c r="P47" s="10">
        <f t="shared" si="8"/>
        <v>0</v>
      </c>
      <c r="Q47" s="11">
        <f t="shared" si="3"/>
        <v>0</v>
      </c>
      <c r="R47" s="18">
        <f t="shared" si="5"/>
        <v>1</v>
      </c>
    </row>
    <row r="48" spans="1:18" ht="31.5" customHeight="1" x14ac:dyDescent="0.85">
      <c r="A48" s="12" t="s">
        <v>61</v>
      </c>
      <c r="B48" s="8">
        <f>'[1]Term 1 Summary Sheet'!$B$48</f>
        <v>0</v>
      </c>
      <c r="C48" s="15"/>
      <c r="D48" s="15"/>
      <c r="E48" s="15"/>
      <c r="F48" s="16"/>
      <c r="G48" s="16"/>
      <c r="H48" s="16"/>
      <c r="I48" s="16"/>
      <c r="J48" s="16"/>
      <c r="K48" s="16"/>
      <c r="L48" s="16"/>
      <c r="M48" s="9">
        <f t="shared" si="6"/>
        <v>0</v>
      </c>
      <c r="N48" s="10">
        <f t="shared" si="7"/>
        <v>0</v>
      </c>
      <c r="O48" s="17"/>
      <c r="P48" s="10">
        <f t="shared" si="8"/>
        <v>0</v>
      </c>
      <c r="Q48" s="11">
        <f t="shared" si="3"/>
        <v>0</v>
      </c>
      <c r="R48" s="18">
        <f t="shared" si="5"/>
        <v>1</v>
      </c>
    </row>
    <row r="49" spans="1:18" ht="31.5" customHeight="1" x14ac:dyDescent="0.85">
      <c r="A49" s="12" t="s">
        <v>62</v>
      </c>
      <c r="B49" s="8">
        <f>'[1]Term 1 Summary Sheet'!$B$49</f>
        <v>0</v>
      </c>
      <c r="C49" s="15"/>
      <c r="D49" s="15"/>
      <c r="E49" s="15"/>
      <c r="F49" s="16"/>
      <c r="G49" s="16"/>
      <c r="H49" s="16"/>
      <c r="I49" s="16"/>
      <c r="J49" s="16"/>
      <c r="K49" s="16"/>
      <c r="L49" s="16"/>
      <c r="M49" s="9">
        <f t="shared" si="6"/>
        <v>0</v>
      </c>
      <c r="N49" s="10">
        <f t="shared" si="7"/>
        <v>0</v>
      </c>
      <c r="O49" s="17"/>
      <c r="P49" s="10">
        <f t="shared" si="8"/>
        <v>0</v>
      </c>
      <c r="Q49" s="11">
        <f t="shared" si="3"/>
        <v>0</v>
      </c>
      <c r="R49" s="18">
        <f t="shared" si="5"/>
        <v>1</v>
      </c>
    </row>
    <row r="50" spans="1:18" ht="31.5" customHeight="1" x14ac:dyDescent="0.85">
      <c r="A50" s="12" t="s">
        <v>63</v>
      </c>
      <c r="B50" s="8">
        <f>'[1]Term 1 Summary Sheet'!$B$50</f>
        <v>0</v>
      </c>
      <c r="C50" s="15"/>
      <c r="D50" s="15"/>
      <c r="E50" s="15"/>
      <c r="F50" s="16"/>
      <c r="G50" s="16"/>
      <c r="H50" s="16"/>
      <c r="I50" s="16"/>
      <c r="J50" s="16"/>
      <c r="K50" s="16"/>
      <c r="L50" s="16"/>
      <c r="M50" s="9">
        <f t="shared" si="6"/>
        <v>0</v>
      </c>
      <c r="N50" s="10">
        <f t="shared" si="7"/>
        <v>0</v>
      </c>
      <c r="O50" s="17"/>
      <c r="P50" s="10">
        <f t="shared" si="8"/>
        <v>0</v>
      </c>
      <c r="Q50" s="11">
        <f t="shared" si="3"/>
        <v>0</v>
      </c>
      <c r="R50" s="18">
        <f t="shared" si="5"/>
        <v>1</v>
      </c>
    </row>
    <row r="51" spans="1:18" ht="31.5" customHeight="1" x14ac:dyDescent="0.85">
      <c r="A51" s="12" t="s">
        <v>64</v>
      </c>
      <c r="B51" s="8">
        <f>'[1]Term 1 Summary Sheet'!$B$51</f>
        <v>0</v>
      </c>
      <c r="C51" s="15"/>
      <c r="D51" s="15"/>
      <c r="E51" s="15"/>
      <c r="F51" s="16"/>
      <c r="G51" s="16"/>
      <c r="H51" s="16"/>
      <c r="I51" s="16"/>
      <c r="J51" s="16"/>
      <c r="K51" s="16"/>
      <c r="L51" s="16"/>
      <c r="M51" s="9">
        <f t="shared" si="6"/>
        <v>0</v>
      </c>
      <c r="N51" s="10">
        <f t="shared" si="7"/>
        <v>0</v>
      </c>
      <c r="O51" s="17"/>
      <c r="P51" s="10">
        <f t="shared" si="8"/>
        <v>0</v>
      </c>
      <c r="Q51" s="11">
        <f t="shared" si="3"/>
        <v>0</v>
      </c>
      <c r="R51" s="18">
        <f t="shared" si="5"/>
        <v>1</v>
      </c>
    </row>
    <row r="52" spans="1:18" ht="31.5" customHeight="1" x14ac:dyDescent="0.85">
      <c r="A52" s="12" t="s">
        <v>65</v>
      </c>
      <c r="B52" s="8">
        <f>'[1]Term 1 Summary Sheet'!$B$52</f>
        <v>0</v>
      </c>
      <c r="C52" s="15"/>
      <c r="D52" s="15"/>
      <c r="E52" s="15"/>
      <c r="F52" s="16"/>
      <c r="G52" s="16"/>
      <c r="H52" s="16"/>
      <c r="I52" s="16"/>
      <c r="J52" s="16"/>
      <c r="K52" s="16"/>
      <c r="L52" s="16"/>
      <c r="M52" s="9">
        <f t="shared" si="6"/>
        <v>0</v>
      </c>
      <c r="N52" s="10">
        <f t="shared" si="7"/>
        <v>0</v>
      </c>
      <c r="O52" s="17"/>
      <c r="P52" s="10">
        <f t="shared" si="8"/>
        <v>0</v>
      </c>
      <c r="Q52" s="11">
        <f t="shared" si="3"/>
        <v>0</v>
      </c>
      <c r="R52" s="18">
        <f t="shared" si="5"/>
        <v>1</v>
      </c>
    </row>
    <row r="53" spans="1:18" ht="31.5" customHeight="1" x14ac:dyDescent="0.85">
      <c r="A53" s="12" t="s">
        <v>66</v>
      </c>
      <c r="B53" s="8">
        <f>'[1]Term 1 Summary Sheet'!$B$53</f>
        <v>0</v>
      </c>
      <c r="C53" s="15"/>
      <c r="D53" s="15"/>
      <c r="E53" s="15"/>
      <c r="F53" s="16"/>
      <c r="G53" s="16"/>
      <c r="H53" s="16"/>
      <c r="I53" s="16"/>
      <c r="J53" s="16"/>
      <c r="K53" s="16"/>
      <c r="L53" s="16"/>
      <c r="M53" s="9">
        <f t="shared" si="6"/>
        <v>0</v>
      </c>
      <c r="N53" s="10">
        <f t="shared" si="7"/>
        <v>0</v>
      </c>
      <c r="O53" s="17"/>
      <c r="P53" s="10">
        <f t="shared" si="8"/>
        <v>0</v>
      </c>
      <c r="Q53" s="11">
        <f t="shared" si="3"/>
        <v>0</v>
      </c>
      <c r="R53" s="18">
        <f t="shared" si="5"/>
        <v>1</v>
      </c>
    </row>
    <row r="54" spans="1:18" ht="31.5" customHeight="1" x14ac:dyDescent="0.85">
      <c r="A54" s="12" t="s">
        <v>67</v>
      </c>
      <c r="B54" s="8">
        <f>'[1]Term 1 Summary Sheet'!$B$54</f>
        <v>0</v>
      </c>
      <c r="C54" s="15"/>
      <c r="D54" s="15"/>
      <c r="E54" s="15"/>
      <c r="F54" s="16"/>
      <c r="G54" s="16"/>
      <c r="H54" s="16"/>
      <c r="I54" s="16"/>
      <c r="J54" s="16"/>
      <c r="K54" s="16"/>
      <c r="L54" s="16"/>
      <c r="M54" s="9">
        <f t="shared" si="6"/>
        <v>0</v>
      </c>
      <c r="N54" s="10">
        <f t="shared" si="7"/>
        <v>0</v>
      </c>
      <c r="O54" s="17"/>
      <c r="P54" s="10">
        <f t="shared" si="8"/>
        <v>0</v>
      </c>
      <c r="Q54" s="11">
        <f t="shared" si="3"/>
        <v>0</v>
      </c>
      <c r="R54" s="18">
        <f t="shared" si="5"/>
        <v>1</v>
      </c>
    </row>
    <row r="55" spans="1:18" ht="31.5" customHeight="1" x14ac:dyDescent="0.85">
      <c r="A55" s="12" t="s">
        <v>68</v>
      </c>
      <c r="B55" s="8">
        <f>'[1]Term 1 Summary Sheet'!$B$55</f>
        <v>0</v>
      </c>
      <c r="C55" s="15"/>
      <c r="D55" s="15"/>
      <c r="E55" s="15"/>
      <c r="F55" s="16"/>
      <c r="G55" s="16"/>
      <c r="H55" s="16"/>
      <c r="I55" s="16"/>
      <c r="J55" s="16"/>
      <c r="K55" s="16"/>
      <c r="L55" s="16"/>
      <c r="M55" s="9">
        <f t="shared" si="6"/>
        <v>0</v>
      </c>
      <c r="N55" s="10">
        <f t="shared" si="7"/>
        <v>0</v>
      </c>
      <c r="O55" s="17"/>
      <c r="P55" s="10">
        <f t="shared" si="8"/>
        <v>0</v>
      </c>
      <c r="Q55" s="11">
        <f t="shared" si="3"/>
        <v>0</v>
      </c>
      <c r="R55" s="18">
        <f t="shared" si="5"/>
        <v>1</v>
      </c>
    </row>
    <row r="56" spans="1:18" ht="31.5" customHeight="1" x14ac:dyDescent="0.85">
      <c r="A56" s="12" t="s">
        <v>69</v>
      </c>
      <c r="B56" s="8">
        <f>'[1]Term 1 Summary Sheet'!$B$56</f>
        <v>0</v>
      </c>
      <c r="C56" s="15"/>
      <c r="D56" s="15"/>
      <c r="E56" s="15"/>
      <c r="F56" s="16"/>
      <c r="G56" s="16"/>
      <c r="H56" s="16"/>
      <c r="I56" s="16"/>
      <c r="J56" s="16"/>
      <c r="K56" s="16"/>
      <c r="L56" s="16"/>
      <c r="M56" s="9">
        <f t="shared" si="6"/>
        <v>0</v>
      </c>
      <c r="N56" s="10">
        <f t="shared" si="7"/>
        <v>0</v>
      </c>
      <c r="O56" s="17"/>
      <c r="P56" s="10">
        <f t="shared" si="8"/>
        <v>0</v>
      </c>
      <c r="Q56" s="11">
        <f t="shared" si="3"/>
        <v>0</v>
      </c>
      <c r="R56" s="18">
        <f t="shared" si="5"/>
        <v>1</v>
      </c>
    </row>
    <row r="57" spans="1:18" ht="31.5" customHeight="1" x14ac:dyDescent="0.85">
      <c r="A57" s="12" t="s">
        <v>70</v>
      </c>
      <c r="B57" s="8">
        <f>'[1]Term 1 Summary Sheet'!$B$57</f>
        <v>0</v>
      </c>
      <c r="C57" s="15"/>
      <c r="D57" s="15"/>
      <c r="E57" s="15"/>
      <c r="F57" s="16"/>
      <c r="G57" s="16"/>
      <c r="H57" s="16"/>
      <c r="I57" s="16"/>
      <c r="J57" s="16"/>
      <c r="K57" s="16"/>
      <c r="L57" s="16"/>
      <c r="M57" s="9">
        <f t="shared" si="6"/>
        <v>0</v>
      </c>
      <c r="N57" s="10">
        <f t="shared" si="7"/>
        <v>0</v>
      </c>
      <c r="O57" s="17"/>
      <c r="P57" s="10">
        <f t="shared" si="8"/>
        <v>0</v>
      </c>
      <c r="Q57" s="11">
        <f t="shared" si="3"/>
        <v>0</v>
      </c>
      <c r="R57" s="18">
        <f t="shared" si="5"/>
        <v>1</v>
      </c>
    </row>
    <row r="58" spans="1:18" ht="31.5" customHeight="1" x14ac:dyDescent="0.85">
      <c r="A58" s="12" t="s">
        <v>71</v>
      </c>
      <c r="B58" s="8">
        <f>'[1]Term 1 Summary Sheet'!$B$58</f>
        <v>0</v>
      </c>
      <c r="C58" s="15"/>
      <c r="D58" s="15"/>
      <c r="E58" s="15"/>
      <c r="F58" s="16"/>
      <c r="G58" s="16"/>
      <c r="H58" s="16"/>
      <c r="I58" s="16"/>
      <c r="J58" s="16"/>
      <c r="K58" s="16"/>
      <c r="L58" s="16"/>
      <c r="M58" s="9">
        <f t="shared" si="6"/>
        <v>0</v>
      </c>
      <c r="N58" s="10">
        <f t="shared" si="7"/>
        <v>0</v>
      </c>
      <c r="O58" s="17"/>
      <c r="P58" s="10">
        <f t="shared" si="8"/>
        <v>0</v>
      </c>
      <c r="Q58" s="11">
        <f t="shared" si="3"/>
        <v>0</v>
      </c>
      <c r="R58" s="18">
        <f t="shared" si="5"/>
        <v>1</v>
      </c>
    </row>
    <row r="59" spans="1:18" ht="31.5" customHeight="1" x14ac:dyDescent="0.85">
      <c r="A59" s="12" t="s">
        <v>72</v>
      </c>
      <c r="B59" s="8">
        <f>'[1]Term 1 Summary Sheet'!$B$59</f>
        <v>0</v>
      </c>
      <c r="C59" s="15"/>
      <c r="D59" s="15"/>
      <c r="E59" s="15"/>
      <c r="F59" s="16"/>
      <c r="G59" s="16"/>
      <c r="H59" s="16"/>
      <c r="I59" s="16"/>
      <c r="J59" s="16"/>
      <c r="K59" s="16"/>
      <c r="L59" s="16"/>
      <c r="M59" s="9">
        <f t="shared" si="6"/>
        <v>0</v>
      </c>
      <c r="N59" s="10">
        <f t="shared" si="7"/>
        <v>0</v>
      </c>
      <c r="O59" s="17"/>
      <c r="P59" s="10">
        <f t="shared" si="8"/>
        <v>0</v>
      </c>
      <c r="Q59" s="11">
        <f t="shared" si="3"/>
        <v>0</v>
      </c>
      <c r="R59" s="18">
        <f t="shared" si="5"/>
        <v>1</v>
      </c>
    </row>
    <row r="60" spans="1:18" ht="31.5" customHeight="1" x14ac:dyDescent="0.85">
      <c r="A60" s="12" t="s">
        <v>73</v>
      </c>
      <c r="B60" s="8">
        <f>'[1]Term 1 Summary Sheet'!$B$60</f>
        <v>0</v>
      </c>
      <c r="C60" s="15"/>
      <c r="D60" s="15"/>
      <c r="E60" s="15"/>
      <c r="F60" s="16"/>
      <c r="G60" s="16"/>
      <c r="H60" s="16"/>
      <c r="I60" s="16"/>
      <c r="J60" s="16"/>
      <c r="K60" s="16"/>
      <c r="L60" s="16"/>
      <c r="M60" s="9">
        <f t="shared" si="6"/>
        <v>0</v>
      </c>
      <c r="N60" s="10">
        <f t="shared" si="7"/>
        <v>0</v>
      </c>
      <c r="O60" s="17"/>
      <c r="P60" s="10">
        <f t="shared" si="8"/>
        <v>0</v>
      </c>
      <c r="Q60" s="11">
        <f t="shared" si="3"/>
        <v>0</v>
      </c>
      <c r="R60" s="18">
        <f t="shared" si="5"/>
        <v>1</v>
      </c>
    </row>
    <row r="61" spans="1:18" ht="31.5" customHeight="1" x14ac:dyDescent="0.85">
      <c r="A61" s="12" t="s">
        <v>74</v>
      </c>
      <c r="B61" s="8">
        <f>'[1]Term 1 Summary Sheet'!$B$61</f>
        <v>0</v>
      </c>
      <c r="C61" s="15"/>
      <c r="D61" s="15"/>
      <c r="E61" s="15"/>
      <c r="F61" s="16"/>
      <c r="G61" s="16"/>
      <c r="H61" s="16"/>
      <c r="I61" s="16"/>
      <c r="J61" s="16"/>
      <c r="K61" s="16"/>
      <c r="L61" s="16"/>
      <c r="M61" s="9">
        <f t="shared" si="6"/>
        <v>0</v>
      </c>
      <c r="N61" s="10">
        <f t="shared" si="7"/>
        <v>0</v>
      </c>
      <c r="O61" s="17"/>
      <c r="P61" s="10">
        <f t="shared" si="8"/>
        <v>0</v>
      </c>
      <c r="Q61" s="11">
        <f t="shared" si="3"/>
        <v>0</v>
      </c>
      <c r="R61" s="18">
        <f t="shared" si="5"/>
        <v>1</v>
      </c>
    </row>
    <row r="62" spans="1:18" ht="31.5" customHeight="1" x14ac:dyDescent="0.85">
      <c r="A62" s="12" t="s">
        <v>75</v>
      </c>
      <c r="B62" s="8">
        <f>'[1]Term 1 Summary Sheet'!$B$62</f>
        <v>0</v>
      </c>
      <c r="C62" s="15"/>
      <c r="D62" s="15"/>
      <c r="E62" s="15"/>
      <c r="F62" s="16"/>
      <c r="G62" s="16"/>
      <c r="H62" s="16"/>
      <c r="I62" s="16"/>
      <c r="J62" s="16"/>
      <c r="K62" s="16"/>
      <c r="L62" s="16"/>
      <c r="M62" s="9">
        <f t="shared" si="6"/>
        <v>0</v>
      </c>
      <c r="N62" s="10">
        <f t="shared" si="7"/>
        <v>0</v>
      </c>
      <c r="O62" s="17"/>
      <c r="P62" s="10">
        <f t="shared" si="8"/>
        <v>0</v>
      </c>
      <c r="Q62" s="11">
        <f t="shared" si="3"/>
        <v>0</v>
      </c>
      <c r="R62" s="18">
        <f t="shared" si="5"/>
        <v>1</v>
      </c>
    </row>
    <row r="63" spans="1:18" ht="31.5" customHeight="1" x14ac:dyDescent="0.85">
      <c r="A63" s="12" t="s">
        <v>76</v>
      </c>
      <c r="B63" s="8">
        <f>'[1]Term 1 Summary Sheet'!$B$63</f>
        <v>0</v>
      </c>
      <c r="C63" s="15"/>
      <c r="D63" s="15"/>
      <c r="E63" s="15"/>
      <c r="F63" s="16"/>
      <c r="G63" s="16"/>
      <c r="H63" s="16"/>
      <c r="I63" s="16"/>
      <c r="J63" s="16"/>
      <c r="K63" s="16"/>
      <c r="L63" s="16"/>
      <c r="M63" s="9">
        <f t="shared" si="6"/>
        <v>0</v>
      </c>
      <c r="N63" s="10">
        <f t="shared" si="7"/>
        <v>0</v>
      </c>
      <c r="O63" s="17"/>
      <c r="P63" s="10">
        <f t="shared" si="8"/>
        <v>0</v>
      </c>
      <c r="Q63" s="11">
        <f t="shared" si="3"/>
        <v>0</v>
      </c>
      <c r="R63" s="18">
        <f t="shared" si="5"/>
        <v>1</v>
      </c>
    </row>
    <row r="64" spans="1:18" ht="31.5" customHeight="1" x14ac:dyDescent="0.85">
      <c r="A64" s="12" t="s">
        <v>77</v>
      </c>
      <c r="B64" s="8">
        <f>'[1]Term 1 Summary Sheet'!$B$64</f>
        <v>0</v>
      </c>
      <c r="C64" s="15"/>
      <c r="D64" s="15"/>
      <c r="E64" s="15"/>
      <c r="F64" s="16"/>
      <c r="G64" s="16"/>
      <c r="H64" s="16"/>
      <c r="I64" s="16"/>
      <c r="J64" s="16"/>
      <c r="K64" s="16"/>
      <c r="L64" s="16"/>
      <c r="M64" s="9">
        <f t="shared" si="6"/>
        <v>0</v>
      </c>
      <c r="N64" s="10">
        <f t="shared" si="7"/>
        <v>0</v>
      </c>
      <c r="O64" s="17"/>
      <c r="P64" s="10">
        <f t="shared" si="8"/>
        <v>0</v>
      </c>
      <c r="Q64" s="11">
        <f t="shared" si="3"/>
        <v>0</v>
      </c>
      <c r="R64" s="18">
        <f t="shared" si="5"/>
        <v>1</v>
      </c>
    </row>
    <row r="65" spans="1:18" ht="31.5" customHeight="1" x14ac:dyDescent="0.85">
      <c r="A65" s="12" t="s">
        <v>78</v>
      </c>
      <c r="B65" s="8">
        <f>'[1]Term 1 Summary Sheet'!$B$65</f>
        <v>0</v>
      </c>
      <c r="C65" s="15"/>
      <c r="D65" s="15"/>
      <c r="E65" s="15"/>
      <c r="F65" s="16"/>
      <c r="G65" s="16"/>
      <c r="H65" s="16"/>
      <c r="I65" s="16"/>
      <c r="J65" s="16"/>
      <c r="K65" s="16"/>
      <c r="L65" s="16"/>
      <c r="M65" s="9">
        <f t="shared" si="6"/>
        <v>0</v>
      </c>
      <c r="N65" s="10">
        <f t="shared" si="7"/>
        <v>0</v>
      </c>
      <c r="O65" s="17"/>
      <c r="P65" s="10">
        <f t="shared" si="8"/>
        <v>0</v>
      </c>
      <c r="Q65" s="11">
        <f t="shared" si="3"/>
        <v>0</v>
      </c>
      <c r="R65" s="18">
        <f t="shared" si="5"/>
        <v>1</v>
      </c>
    </row>
    <row r="66" spans="1:18" ht="31.5" customHeight="1" x14ac:dyDescent="0.85">
      <c r="A66" s="12" t="s">
        <v>79</v>
      </c>
      <c r="B66" s="8">
        <f>'[1]Term 1 Summary Sheet'!$B$66</f>
        <v>0</v>
      </c>
      <c r="C66" s="15"/>
      <c r="D66" s="15"/>
      <c r="E66" s="15"/>
      <c r="F66" s="16"/>
      <c r="G66" s="16"/>
      <c r="H66" s="16"/>
      <c r="I66" s="16"/>
      <c r="J66" s="16"/>
      <c r="K66" s="16"/>
      <c r="L66" s="16"/>
      <c r="M66" s="9">
        <f t="shared" si="6"/>
        <v>0</v>
      </c>
      <c r="N66" s="10">
        <f t="shared" si="7"/>
        <v>0</v>
      </c>
      <c r="O66" s="17"/>
      <c r="P66" s="10">
        <f t="shared" si="8"/>
        <v>0</v>
      </c>
      <c r="Q66" s="11">
        <f t="shared" si="3"/>
        <v>0</v>
      </c>
      <c r="R66" s="18">
        <f t="shared" si="5"/>
        <v>1</v>
      </c>
    </row>
    <row r="67" spans="1:18" ht="31.5" customHeight="1" x14ac:dyDescent="0.85">
      <c r="A67" s="12" t="s">
        <v>80</v>
      </c>
      <c r="B67" s="8">
        <f>'[1]Term 1 Summary Sheet'!$B$67</f>
        <v>0</v>
      </c>
      <c r="C67" s="15"/>
      <c r="D67" s="15"/>
      <c r="E67" s="15"/>
      <c r="F67" s="16"/>
      <c r="G67" s="16"/>
      <c r="H67" s="16"/>
      <c r="I67" s="16"/>
      <c r="J67" s="16"/>
      <c r="K67" s="16"/>
      <c r="L67" s="16"/>
      <c r="M67" s="9">
        <f t="shared" si="6"/>
        <v>0</v>
      </c>
      <c r="N67" s="10">
        <f t="shared" si="7"/>
        <v>0</v>
      </c>
      <c r="O67" s="17"/>
      <c r="P67" s="10">
        <f t="shared" si="8"/>
        <v>0</v>
      </c>
      <c r="Q67" s="11">
        <f t="shared" si="3"/>
        <v>0</v>
      </c>
      <c r="R67" s="18">
        <f t="shared" si="5"/>
        <v>1</v>
      </c>
    </row>
    <row r="68" spans="1:18" ht="31.5" customHeight="1" x14ac:dyDescent="0.85">
      <c r="A68" s="12" t="s">
        <v>81</v>
      </c>
      <c r="B68" s="8">
        <f>'[1]Term 1 Summary Sheet'!$B$68</f>
        <v>0</v>
      </c>
      <c r="C68" s="15"/>
      <c r="D68" s="15"/>
      <c r="E68" s="15"/>
      <c r="F68" s="16"/>
      <c r="G68" s="16"/>
      <c r="H68" s="16"/>
      <c r="I68" s="16"/>
      <c r="J68" s="16"/>
      <c r="K68" s="16"/>
      <c r="L68" s="16"/>
      <c r="M68" s="9">
        <f t="shared" ref="M68:M99" si="9">SUM(C68:L68)</f>
        <v>0</v>
      </c>
      <c r="N68" s="10">
        <f t="shared" ref="N68:N99" si="10">M68/100 *50</f>
        <v>0</v>
      </c>
      <c r="O68" s="17"/>
      <c r="P68" s="10">
        <f t="shared" si="8"/>
        <v>0</v>
      </c>
      <c r="Q68" s="11">
        <f t="shared" ref="Q68:Q104" si="11">SUM(N68,P68)</f>
        <v>0</v>
      </c>
      <c r="R68" s="18">
        <f t="shared" si="5"/>
        <v>1</v>
      </c>
    </row>
    <row r="69" spans="1:18" ht="31.5" customHeight="1" x14ac:dyDescent="0.85">
      <c r="A69" s="12" t="s">
        <v>82</v>
      </c>
      <c r="B69" s="8">
        <f>'[1]Term 1 Summary Sheet'!$B$69</f>
        <v>0</v>
      </c>
      <c r="C69" s="15"/>
      <c r="D69" s="15"/>
      <c r="E69" s="15"/>
      <c r="F69" s="16"/>
      <c r="G69" s="16"/>
      <c r="H69" s="16"/>
      <c r="I69" s="16"/>
      <c r="J69" s="16"/>
      <c r="K69" s="16"/>
      <c r="L69" s="16"/>
      <c r="M69" s="9">
        <f t="shared" si="9"/>
        <v>0</v>
      </c>
      <c r="N69" s="10">
        <f t="shared" si="10"/>
        <v>0</v>
      </c>
      <c r="O69" s="17"/>
      <c r="P69" s="10">
        <f t="shared" ref="P69:P100" si="12">O69/100 *50</f>
        <v>0</v>
      </c>
      <c r="Q69" s="11">
        <f t="shared" si="11"/>
        <v>0</v>
      </c>
      <c r="R69" s="18">
        <f t="shared" si="5"/>
        <v>1</v>
      </c>
    </row>
    <row r="70" spans="1:18" ht="31.5" customHeight="1" x14ac:dyDescent="0.85">
      <c r="A70" s="12" t="s">
        <v>83</v>
      </c>
      <c r="B70" s="8">
        <f>'[1]Term 1 Summary Sheet'!$B$70</f>
        <v>0</v>
      </c>
      <c r="C70" s="15"/>
      <c r="D70" s="15"/>
      <c r="E70" s="15"/>
      <c r="F70" s="16"/>
      <c r="G70" s="16"/>
      <c r="H70" s="16"/>
      <c r="I70" s="16"/>
      <c r="J70" s="16"/>
      <c r="K70" s="16"/>
      <c r="L70" s="16"/>
      <c r="M70" s="9">
        <f t="shared" si="9"/>
        <v>0</v>
      </c>
      <c r="N70" s="10">
        <f t="shared" si="10"/>
        <v>0</v>
      </c>
      <c r="O70" s="17"/>
      <c r="P70" s="10">
        <f t="shared" si="12"/>
        <v>0</v>
      </c>
      <c r="Q70" s="11">
        <f t="shared" si="11"/>
        <v>0</v>
      </c>
      <c r="R70" s="18">
        <f t="shared" ref="R70:R104" si="13">_xlfn.RANK.EQ(Q70,$Q$5:$Q$104,)</f>
        <v>1</v>
      </c>
    </row>
    <row r="71" spans="1:18" ht="31.5" customHeight="1" x14ac:dyDescent="0.85">
      <c r="A71" s="12" t="s">
        <v>84</v>
      </c>
      <c r="B71" s="8">
        <f>'[1]Term 1 Summary Sheet'!$B$71</f>
        <v>0</v>
      </c>
      <c r="C71" s="15"/>
      <c r="D71" s="15"/>
      <c r="E71" s="15"/>
      <c r="F71" s="16"/>
      <c r="G71" s="16"/>
      <c r="H71" s="16"/>
      <c r="I71" s="16"/>
      <c r="J71" s="16"/>
      <c r="K71" s="16"/>
      <c r="L71" s="16"/>
      <c r="M71" s="9">
        <f t="shared" si="9"/>
        <v>0</v>
      </c>
      <c r="N71" s="10">
        <f t="shared" si="10"/>
        <v>0</v>
      </c>
      <c r="O71" s="17"/>
      <c r="P71" s="10">
        <f t="shared" si="12"/>
        <v>0</v>
      </c>
      <c r="Q71" s="11">
        <f t="shared" si="11"/>
        <v>0</v>
      </c>
      <c r="R71" s="18">
        <f t="shared" si="13"/>
        <v>1</v>
      </c>
    </row>
    <row r="72" spans="1:18" ht="31.5" customHeight="1" x14ac:dyDescent="0.85">
      <c r="A72" s="12" t="s">
        <v>85</v>
      </c>
      <c r="B72" s="8">
        <f>'[1]Term 1 Summary Sheet'!$B$72</f>
        <v>0</v>
      </c>
      <c r="C72" s="15"/>
      <c r="D72" s="15"/>
      <c r="E72" s="15"/>
      <c r="F72" s="16"/>
      <c r="G72" s="16"/>
      <c r="H72" s="16"/>
      <c r="I72" s="16"/>
      <c r="J72" s="16"/>
      <c r="K72" s="16"/>
      <c r="L72" s="16"/>
      <c r="M72" s="9">
        <f t="shared" si="9"/>
        <v>0</v>
      </c>
      <c r="N72" s="10">
        <f t="shared" si="10"/>
        <v>0</v>
      </c>
      <c r="O72" s="17"/>
      <c r="P72" s="10">
        <f t="shared" si="12"/>
        <v>0</v>
      </c>
      <c r="Q72" s="11">
        <f t="shared" si="11"/>
        <v>0</v>
      </c>
      <c r="R72" s="18">
        <f t="shared" si="13"/>
        <v>1</v>
      </c>
    </row>
    <row r="73" spans="1:18" ht="31.5" customHeight="1" x14ac:dyDescent="0.85">
      <c r="A73" s="12" t="s">
        <v>86</v>
      </c>
      <c r="B73" s="8">
        <f>'[1]Term 1 Summary Sheet'!$B$73</f>
        <v>0</v>
      </c>
      <c r="C73" s="15"/>
      <c r="D73" s="15"/>
      <c r="E73" s="15"/>
      <c r="F73" s="16"/>
      <c r="G73" s="16"/>
      <c r="H73" s="16"/>
      <c r="I73" s="16"/>
      <c r="J73" s="16"/>
      <c r="K73" s="16"/>
      <c r="L73" s="16"/>
      <c r="M73" s="9">
        <f t="shared" si="9"/>
        <v>0</v>
      </c>
      <c r="N73" s="10">
        <f t="shared" si="10"/>
        <v>0</v>
      </c>
      <c r="O73" s="17"/>
      <c r="P73" s="10">
        <f t="shared" si="12"/>
        <v>0</v>
      </c>
      <c r="Q73" s="11">
        <f t="shared" si="11"/>
        <v>0</v>
      </c>
      <c r="R73" s="18">
        <f t="shared" si="13"/>
        <v>1</v>
      </c>
    </row>
    <row r="74" spans="1:18" ht="31.5" customHeight="1" x14ac:dyDescent="0.85">
      <c r="A74" s="12" t="s">
        <v>87</v>
      </c>
      <c r="B74" s="8">
        <f>'[1]Term 1 Summary Sheet'!$B$74</f>
        <v>0</v>
      </c>
      <c r="C74" s="15"/>
      <c r="D74" s="15"/>
      <c r="E74" s="15"/>
      <c r="F74" s="16"/>
      <c r="G74" s="16"/>
      <c r="H74" s="16"/>
      <c r="I74" s="16"/>
      <c r="J74" s="16"/>
      <c r="K74" s="16"/>
      <c r="L74" s="16"/>
      <c r="M74" s="9">
        <f t="shared" si="9"/>
        <v>0</v>
      </c>
      <c r="N74" s="10">
        <f t="shared" si="10"/>
        <v>0</v>
      </c>
      <c r="O74" s="17"/>
      <c r="P74" s="10">
        <f t="shared" si="12"/>
        <v>0</v>
      </c>
      <c r="Q74" s="11">
        <f t="shared" si="11"/>
        <v>0</v>
      </c>
      <c r="R74" s="18">
        <f t="shared" si="13"/>
        <v>1</v>
      </c>
    </row>
    <row r="75" spans="1:18" ht="31.5" customHeight="1" x14ac:dyDescent="0.85">
      <c r="A75" s="12" t="s">
        <v>88</v>
      </c>
      <c r="B75" s="8">
        <f>'[1]Term 1 Summary Sheet'!$B$75</f>
        <v>0</v>
      </c>
      <c r="C75" s="15"/>
      <c r="D75" s="15"/>
      <c r="E75" s="15"/>
      <c r="F75" s="16"/>
      <c r="G75" s="16"/>
      <c r="H75" s="16"/>
      <c r="I75" s="16"/>
      <c r="J75" s="16"/>
      <c r="K75" s="16"/>
      <c r="L75" s="16"/>
      <c r="M75" s="9">
        <f t="shared" si="9"/>
        <v>0</v>
      </c>
      <c r="N75" s="10">
        <f t="shared" si="10"/>
        <v>0</v>
      </c>
      <c r="O75" s="17"/>
      <c r="P75" s="10">
        <f t="shared" si="12"/>
        <v>0</v>
      </c>
      <c r="Q75" s="11">
        <f t="shared" si="11"/>
        <v>0</v>
      </c>
      <c r="R75" s="18">
        <f t="shared" si="13"/>
        <v>1</v>
      </c>
    </row>
    <row r="76" spans="1:18" ht="31.5" customHeight="1" x14ac:dyDescent="0.85">
      <c r="A76" s="12" t="s">
        <v>89</v>
      </c>
      <c r="B76" s="8">
        <f>'[1]Term 1 Summary Sheet'!$B$76</f>
        <v>0</v>
      </c>
      <c r="C76" s="15"/>
      <c r="D76" s="15"/>
      <c r="E76" s="15"/>
      <c r="F76" s="16"/>
      <c r="G76" s="16"/>
      <c r="H76" s="16"/>
      <c r="I76" s="16"/>
      <c r="J76" s="16"/>
      <c r="K76" s="16"/>
      <c r="L76" s="16"/>
      <c r="M76" s="9">
        <f t="shared" si="9"/>
        <v>0</v>
      </c>
      <c r="N76" s="10">
        <f t="shared" si="10"/>
        <v>0</v>
      </c>
      <c r="O76" s="17"/>
      <c r="P76" s="10">
        <f t="shared" si="12"/>
        <v>0</v>
      </c>
      <c r="Q76" s="11">
        <f t="shared" si="11"/>
        <v>0</v>
      </c>
      <c r="R76" s="18">
        <f t="shared" si="13"/>
        <v>1</v>
      </c>
    </row>
    <row r="77" spans="1:18" ht="31.5" customHeight="1" x14ac:dyDescent="0.85">
      <c r="A77" s="12" t="s">
        <v>90</v>
      </c>
      <c r="B77" s="8">
        <f>'[1]Term 1 Summary Sheet'!$B$77</f>
        <v>0</v>
      </c>
      <c r="C77" s="15"/>
      <c r="D77" s="15"/>
      <c r="E77" s="15"/>
      <c r="F77" s="16"/>
      <c r="G77" s="16"/>
      <c r="H77" s="16"/>
      <c r="I77" s="16"/>
      <c r="J77" s="16"/>
      <c r="K77" s="16"/>
      <c r="L77" s="16"/>
      <c r="M77" s="9">
        <f t="shared" si="9"/>
        <v>0</v>
      </c>
      <c r="N77" s="10">
        <f t="shared" si="10"/>
        <v>0</v>
      </c>
      <c r="O77" s="17"/>
      <c r="P77" s="10">
        <f t="shared" si="12"/>
        <v>0</v>
      </c>
      <c r="Q77" s="11">
        <f t="shared" si="11"/>
        <v>0</v>
      </c>
      <c r="R77" s="18">
        <f t="shared" si="13"/>
        <v>1</v>
      </c>
    </row>
    <row r="78" spans="1:18" ht="31.5" customHeight="1" x14ac:dyDescent="0.85">
      <c r="A78" s="12" t="s">
        <v>91</v>
      </c>
      <c r="B78" s="8">
        <f>'[1]Term 1 Summary Sheet'!$B$78</f>
        <v>0</v>
      </c>
      <c r="C78" s="15"/>
      <c r="D78" s="15"/>
      <c r="E78" s="15"/>
      <c r="F78" s="16"/>
      <c r="G78" s="16"/>
      <c r="H78" s="16"/>
      <c r="I78" s="16"/>
      <c r="J78" s="16"/>
      <c r="K78" s="16"/>
      <c r="L78" s="16"/>
      <c r="M78" s="9">
        <f t="shared" si="9"/>
        <v>0</v>
      </c>
      <c r="N78" s="10">
        <f t="shared" si="10"/>
        <v>0</v>
      </c>
      <c r="O78" s="17"/>
      <c r="P78" s="10">
        <f t="shared" si="12"/>
        <v>0</v>
      </c>
      <c r="Q78" s="11">
        <f t="shared" si="11"/>
        <v>0</v>
      </c>
      <c r="R78" s="18">
        <f t="shared" si="13"/>
        <v>1</v>
      </c>
    </row>
    <row r="79" spans="1:18" ht="31.5" customHeight="1" x14ac:dyDescent="0.85">
      <c r="A79" s="12" t="s">
        <v>92</v>
      </c>
      <c r="B79" s="8">
        <f>'[1]Term 1 Summary Sheet'!$B$79</f>
        <v>0</v>
      </c>
      <c r="C79" s="15"/>
      <c r="D79" s="15"/>
      <c r="E79" s="15"/>
      <c r="F79" s="16"/>
      <c r="G79" s="16"/>
      <c r="H79" s="16"/>
      <c r="I79" s="16"/>
      <c r="J79" s="16"/>
      <c r="K79" s="16"/>
      <c r="L79" s="16"/>
      <c r="M79" s="9">
        <f t="shared" si="9"/>
        <v>0</v>
      </c>
      <c r="N79" s="10">
        <f t="shared" si="10"/>
        <v>0</v>
      </c>
      <c r="O79" s="17"/>
      <c r="P79" s="10">
        <f t="shared" si="12"/>
        <v>0</v>
      </c>
      <c r="Q79" s="11">
        <f t="shared" si="11"/>
        <v>0</v>
      </c>
      <c r="R79" s="18">
        <f t="shared" si="13"/>
        <v>1</v>
      </c>
    </row>
    <row r="80" spans="1:18" ht="31.5" customHeight="1" x14ac:dyDescent="0.85">
      <c r="A80" s="12" t="s">
        <v>93</v>
      </c>
      <c r="B80" s="8">
        <f>'[1]Term 1 Summary Sheet'!$B$80</f>
        <v>0</v>
      </c>
      <c r="C80" s="15"/>
      <c r="D80" s="15"/>
      <c r="E80" s="15"/>
      <c r="F80" s="16"/>
      <c r="G80" s="16"/>
      <c r="H80" s="16"/>
      <c r="I80" s="16"/>
      <c r="J80" s="16"/>
      <c r="K80" s="16"/>
      <c r="L80" s="16"/>
      <c r="M80" s="9">
        <f t="shared" si="9"/>
        <v>0</v>
      </c>
      <c r="N80" s="10">
        <f t="shared" si="10"/>
        <v>0</v>
      </c>
      <c r="O80" s="17"/>
      <c r="P80" s="10">
        <f t="shared" si="12"/>
        <v>0</v>
      </c>
      <c r="Q80" s="11">
        <f t="shared" si="11"/>
        <v>0</v>
      </c>
      <c r="R80" s="18">
        <f t="shared" si="13"/>
        <v>1</v>
      </c>
    </row>
    <row r="81" spans="1:18" ht="31.5" customHeight="1" x14ac:dyDescent="0.85">
      <c r="A81" s="12" t="s">
        <v>94</v>
      </c>
      <c r="B81" s="8">
        <f>'[1]Term 1 Summary Sheet'!$B$81</f>
        <v>0</v>
      </c>
      <c r="C81" s="15"/>
      <c r="D81" s="15"/>
      <c r="E81" s="15"/>
      <c r="F81" s="16"/>
      <c r="G81" s="16"/>
      <c r="H81" s="16"/>
      <c r="I81" s="16"/>
      <c r="J81" s="16"/>
      <c r="K81" s="16"/>
      <c r="L81" s="16"/>
      <c r="M81" s="9">
        <f t="shared" si="9"/>
        <v>0</v>
      </c>
      <c r="N81" s="10">
        <f t="shared" si="10"/>
        <v>0</v>
      </c>
      <c r="O81" s="17"/>
      <c r="P81" s="10">
        <f t="shared" si="12"/>
        <v>0</v>
      </c>
      <c r="Q81" s="11">
        <f t="shared" si="11"/>
        <v>0</v>
      </c>
      <c r="R81" s="18">
        <f t="shared" si="13"/>
        <v>1</v>
      </c>
    </row>
    <row r="82" spans="1:18" ht="31.5" customHeight="1" x14ac:dyDescent="0.85">
      <c r="A82" s="12" t="s">
        <v>95</v>
      </c>
      <c r="B82" s="8">
        <f>'[1]Term 1 Summary Sheet'!$B$82</f>
        <v>0</v>
      </c>
      <c r="C82" s="15"/>
      <c r="D82" s="15"/>
      <c r="E82" s="15"/>
      <c r="F82" s="16"/>
      <c r="G82" s="16"/>
      <c r="H82" s="16"/>
      <c r="I82" s="16"/>
      <c r="J82" s="16"/>
      <c r="K82" s="16"/>
      <c r="L82" s="16"/>
      <c r="M82" s="9">
        <f t="shared" si="9"/>
        <v>0</v>
      </c>
      <c r="N82" s="10">
        <f t="shared" si="10"/>
        <v>0</v>
      </c>
      <c r="O82" s="17"/>
      <c r="P82" s="10">
        <f t="shared" si="12"/>
        <v>0</v>
      </c>
      <c r="Q82" s="11">
        <f t="shared" si="11"/>
        <v>0</v>
      </c>
      <c r="R82" s="18">
        <f t="shared" si="13"/>
        <v>1</v>
      </c>
    </row>
    <row r="83" spans="1:18" ht="31.5" customHeight="1" x14ac:dyDescent="0.85">
      <c r="A83" s="12" t="s">
        <v>96</v>
      </c>
      <c r="B83" s="8">
        <f>'[1]Term 1 Summary Sheet'!$B$83</f>
        <v>0</v>
      </c>
      <c r="C83" s="15"/>
      <c r="D83" s="15"/>
      <c r="E83" s="15"/>
      <c r="F83" s="16"/>
      <c r="G83" s="16"/>
      <c r="H83" s="16"/>
      <c r="I83" s="16"/>
      <c r="J83" s="16"/>
      <c r="K83" s="16"/>
      <c r="L83" s="16"/>
      <c r="M83" s="9">
        <f t="shared" si="9"/>
        <v>0</v>
      </c>
      <c r="N83" s="10">
        <f t="shared" si="10"/>
        <v>0</v>
      </c>
      <c r="O83" s="17"/>
      <c r="P83" s="10">
        <f t="shared" si="12"/>
        <v>0</v>
      </c>
      <c r="Q83" s="11">
        <f t="shared" si="11"/>
        <v>0</v>
      </c>
      <c r="R83" s="18">
        <f t="shared" si="13"/>
        <v>1</v>
      </c>
    </row>
    <row r="84" spans="1:18" ht="31.5" customHeight="1" x14ac:dyDescent="0.85">
      <c r="A84" s="12" t="s">
        <v>97</v>
      </c>
      <c r="B84" s="8">
        <f>'[1]Term 1 Summary Sheet'!$B$84</f>
        <v>0</v>
      </c>
      <c r="C84" s="15"/>
      <c r="D84" s="15"/>
      <c r="E84" s="15"/>
      <c r="F84" s="16"/>
      <c r="G84" s="16"/>
      <c r="H84" s="16"/>
      <c r="I84" s="16"/>
      <c r="J84" s="16"/>
      <c r="K84" s="16"/>
      <c r="L84" s="16"/>
      <c r="M84" s="9">
        <f t="shared" si="9"/>
        <v>0</v>
      </c>
      <c r="N84" s="10">
        <f t="shared" si="10"/>
        <v>0</v>
      </c>
      <c r="O84" s="17"/>
      <c r="P84" s="10">
        <f t="shared" si="12"/>
        <v>0</v>
      </c>
      <c r="Q84" s="11">
        <f t="shared" si="11"/>
        <v>0</v>
      </c>
      <c r="R84" s="18">
        <f t="shared" si="13"/>
        <v>1</v>
      </c>
    </row>
    <row r="85" spans="1:18" ht="31.5" customHeight="1" x14ac:dyDescent="0.85">
      <c r="A85" s="12" t="s">
        <v>98</v>
      </c>
      <c r="B85" s="8">
        <f>'[1]Term 1 Summary Sheet'!$B$85</f>
        <v>0</v>
      </c>
      <c r="C85" s="15"/>
      <c r="D85" s="15"/>
      <c r="E85" s="15"/>
      <c r="F85" s="16"/>
      <c r="G85" s="16"/>
      <c r="H85" s="16"/>
      <c r="I85" s="16"/>
      <c r="J85" s="16"/>
      <c r="K85" s="16"/>
      <c r="L85" s="16"/>
      <c r="M85" s="9">
        <f t="shared" si="9"/>
        <v>0</v>
      </c>
      <c r="N85" s="10">
        <f t="shared" si="10"/>
        <v>0</v>
      </c>
      <c r="O85" s="17"/>
      <c r="P85" s="10">
        <f t="shared" si="12"/>
        <v>0</v>
      </c>
      <c r="Q85" s="11">
        <f t="shared" si="11"/>
        <v>0</v>
      </c>
      <c r="R85" s="18">
        <f t="shared" si="13"/>
        <v>1</v>
      </c>
    </row>
    <row r="86" spans="1:18" ht="31.5" customHeight="1" x14ac:dyDescent="0.85">
      <c r="A86" s="12" t="s">
        <v>99</v>
      </c>
      <c r="B86" s="8">
        <f>'[1]Term 1 Summary Sheet'!$B$86</f>
        <v>0</v>
      </c>
      <c r="C86" s="15"/>
      <c r="D86" s="15"/>
      <c r="E86" s="15"/>
      <c r="F86" s="16"/>
      <c r="G86" s="16"/>
      <c r="H86" s="16"/>
      <c r="I86" s="16"/>
      <c r="J86" s="16"/>
      <c r="K86" s="16"/>
      <c r="L86" s="16"/>
      <c r="M86" s="9">
        <f t="shared" si="9"/>
        <v>0</v>
      </c>
      <c r="N86" s="10">
        <f t="shared" si="10"/>
        <v>0</v>
      </c>
      <c r="O86" s="17"/>
      <c r="P86" s="10">
        <f t="shared" si="12"/>
        <v>0</v>
      </c>
      <c r="Q86" s="11">
        <f t="shared" si="11"/>
        <v>0</v>
      </c>
      <c r="R86" s="18">
        <f t="shared" si="13"/>
        <v>1</v>
      </c>
    </row>
    <row r="87" spans="1:18" ht="31.5" customHeight="1" x14ac:dyDescent="0.85">
      <c r="A87" s="12" t="s">
        <v>100</v>
      </c>
      <c r="B87" s="8">
        <f>'[1]Term 1 Summary Sheet'!$B$87</f>
        <v>0</v>
      </c>
      <c r="C87" s="15"/>
      <c r="D87" s="15"/>
      <c r="E87" s="15"/>
      <c r="F87" s="16"/>
      <c r="G87" s="16"/>
      <c r="H87" s="16"/>
      <c r="I87" s="16"/>
      <c r="J87" s="16"/>
      <c r="K87" s="16"/>
      <c r="L87" s="16"/>
      <c r="M87" s="9">
        <f t="shared" si="9"/>
        <v>0</v>
      </c>
      <c r="N87" s="10">
        <f t="shared" si="10"/>
        <v>0</v>
      </c>
      <c r="O87" s="17"/>
      <c r="P87" s="10">
        <f t="shared" si="12"/>
        <v>0</v>
      </c>
      <c r="Q87" s="11">
        <f t="shared" si="11"/>
        <v>0</v>
      </c>
      <c r="R87" s="18">
        <f t="shared" si="13"/>
        <v>1</v>
      </c>
    </row>
    <row r="88" spans="1:18" ht="31.5" customHeight="1" x14ac:dyDescent="0.85">
      <c r="A88" s="12" t="s">
        <v>101</v>
      </c>
      <c r="B88" s="8">
        <f>'[1]Term 1 Summary Sheet'!$B$88</f>
        <v>0</v>
      </c>
      <c r="C88" s="15"/>
      <c r="D88" s="15"/>
      <c r="E88" s="15"/>
      <c r="F88" s="16"/>
      <c r="G88" s="16"/>
      <c r="H88" s="16"/>
      <c r="I88" s="16"/>
      <c r="J88" s="16"/>
      <c r="K88" s="16"/>
      <c r="L88" s="16"/>
      <c r="M88" s="9">
        <f t="shared" si="9"/>
        <v>0</v>
      </c>
      <c r="N88" s="10">
        <f t="shared" si="10"/>
        <v>0</v>
      </c>
      <c r="O88" s="17"/>
      <c r="P88" s="10">
        <f t="shared" si="12"/>
        <v>0</v>
      </c>
      <c r="Q88" s="11">
        <f t="shared" si="11"/>
        <v>0</v>
      </c>
      <c r="R88" s="18">
        <f t="shared" si="13"/>
        <v>1</v>
      </c>
    </row>
    <row r="89" spans="1:18" ht="31.5" customHeight="1" x14ac:dyDescent="0.85">
      <c r="A89" s="12" t="s">
        <v>102</v>
      </c>
      <c r="B89" s="8">
        <f>'[1]Term 1 Summary Sheet'!$B$89</f>
        <v>0</v>
      </c>
      <c r="C89" s="15"/>
      <c r="D89" s="15"/>
      <c r="E89" s="15"/>
      <c r="F89" s="16"/>
      <c r="G89" s="16"/>
      <c r="H89" s="16"/>
      <c r="I89" s="16"/>
      <c r="J89" s="16"/>
      <c r="K89" s="16"/>
      <c r="L89" s="16"/>
      <c r="M89" s="9">
        <f t="shared" si="9"/>
        <v>0</v>
      </c>
      <c r="N89" s="10">
        <f t="shared" si="10"/>
        <v>0</v>
      </c>
      <c r="O89" s="17"/>
      <c r="P89" s="10">
        <f t="shared" si="12"/>
        <v>0</v>
      </c>
      <c r="Q89" s="11">
        <f t="shared" si="11"/>
        <v>0</v>
      </c>
      <c r="R89" s="18">
        <f t="shared" si="13"/>
        <v>1</v>
      </c>
    </row>
    <row r="90" spans="1:18" ht="31.5" customHeight="1" x14ac:dyDescent="0.85">
      <c r="A90" s="12" t="s">
        <v>103</v>
      </c>
      <c r="B90" s="8">
        <f>'[1]Term 1 Summary Sheet'!$B$90</f>
        <v>0</v>
      </c>
      <c r="C90" s="15"/>
      <c r="D90" s="15"/>
      <c r="E90" s="15"/>
      <c r="F90" s="16"/>
      <c r="G90" s="16"/>
      <c r="H90" s="16"/>
      <c r="I90" s="16"/>
      <c r="J90" s="16"/>
      <c r="K90" s="16"/>
      <c r="L90" s="16"/>
      <c r="M90" s="9">
        <f t="shared" si="9"/>
        <v>0</v>
      </c>
      <c r="N90" s="10">
        <f t="shared" si="10"/>
        <v>0</v>
      </c>
      <c r="O90" s="17"/>
      <c r="P90" s="10">
        <f t="shared" si="12"/>
        <v>0</v>
      </c>
      <c r="Q90" s="11">
        <f t="shared" si="11"/>
        <v>0</v>
      </c>
      <c r="R90" s="18">
        <f t="shared" si="13"/>
        <v>1</v>
      </c>
    </row>
    <row r="91" spans="1:18" ht="31.5" customHeight="1" x14ac:dyDescent="0.85">
      <c r="A91" s="12" t="s">
        <v>104</v>
      </c>
      <c r="B91" s="8">
        <f>'[1]Term 1 Summary Sheet'!$B$91</f>
        <v>0</v>
      </c>
      <c r="C91" s="15"/>
      <c r="D91" s="15"/>
      <c r="E91" s="15"/>
      <c r="F91" s="16"/>
      <c r="G91" s="16"/>
      <c r="H91" s="16"/>
      <c r="I91" s="16"/>
      <c r="J91" s="16"/>
      <c r="K91" s="16"/>
      <c r="L91" s="16"/>
      <c r="M91" s="9">
        <f t="shared" si="9"/>
        <v>0</v>
      </c>
      <c r="N91" s="10">
        <f t="shared" si="10"/>
        <v>0</v>
      </c>
      <c r="O91" s="17"/>
      <c r="P91" s="10">
        <f t="shared" si="12"/>
        <v>0</v>
      </c>
      <c r="Q91" s="11">
        <f t="shared" si="11"/>
        <v>0</v>
      </c>
      <c r="R91" s="18">
        <f t="shared" si="13"/>
        <v>1</v>
      </c>
    </row>
    <row r="92" spans="1:18" ht="31.5" customHeight="1" x14ac:dyDescent="0.85">
      <c r="A92" s="12" t="s">
        <v>105</v>
      </c>
      <c r="B92" s="8">
        <f>'[1]Term 1 Summary Sheet'!$B$92</f>
        <v>0</v>
      </c>
      <c r="C92" s="15"/>
      <c r="D92" s="15"/>
      <c r="E92" s="15"/>
      <c r="F92" s="16"/>
      <c r="G92" s="16"/>
      <c r="H92" s="16"/>
      <c r="I92" s="16"/>
      <c r="J92" s="16"/>
      <c r="K92" s="16"/>
      <c r="L92" s="16"/>
      <c r="M92" s="9">
        <f t="shared" si="9"/>
        <v>0</v>
      </c>
      <c r="N92" s="10">
        <f t="shared" si="10"/>
        <v>0</v>
      </c>
      <c r="O92" s="17"/>
      <c r="P92" s="10">
        <f t="shared" si="12"/>
        <v>0</v>
      </c>
      <c r="Q92" s="11">
        <f t="shared" si="11"/>
        <v>0</v>
      </c>
      <c r="R92" s="18">
        <f t="shared" si="13"/>
        <v>1</v>
      </c>
    </row>
    <row r="93" spans="1:18" ht="31.5" customHeight="1" x14ac:dyDescent="0.85">
      <c r="A93" s="12" t="s">
        <v>106</v>
      </c>
      <c r="B93" s="8">
        <f>'[1]Term 1 Summary Sheet'!$B$93</f>
        <v>0</v>
      </c>
      <c r="C93" s="15"/>
      <c r="D93" s="15"/>
      <c r="E93" s="15"/>
      <c r="F93" s="16"/>
      <c r="G93" s="16"/>
      <c r="H93" s="16"/>
      <c r="I93" s="16"/>
      <c r="J93" s="16"/>
      <c r="K93" s="16"/>
      <c r="L93" s="16"/>
      <c r="M93" s="9">
        <f t="shared" si="9"/>
        <v>0</v>
      </c>
      <c r="N93" s="10">
        <f t="shared" si="10"/>
        <v>0</v>
      </c>
      <c r="O93" s="17"/>
      <c r="P93" s="10">
        <f t="shared" si="12"/>
        <v>0</v>
      </c>
      <c r="Q93" s="11">
        <f t="shared" si="11"/>
        <v>0</v>
      </c>
      <c r="R93" s="18">
        <f t="shared" si="13"/>
        <v>1</v>
      </c>
    </row>
    <row r="94" spans="1:18" ht="31.5" customHeight="1" x14ac:dyDescent="0.85">
      <c r="A94" s="12" t="s">
        <v>107</v>
      </c>
      <c r="B94" s="8">
        <f>'[1]Term 1 Summary Sheet'!$B$94</f>
        <v>0</v>
      </c>
      <c r="C94" s="15"/>
      <c r="D94" s="15"/>
      <c r="E94" s="15"/>
      <c r="F94" s="16"/>
      <c r="G94" s="16"/>
      <c r="H94" s="16"/>
      <c r="I94" s="16"/>
      <c r="J94" s="16"/>
      <c r="K94" s="16"/>
      <c r="L94" s="16"/>
      <c r="M94" s="9">
        <f t="shared" si="9"/>
        <v>0</v>
      </c>
      <c r="N94" s="10">
        <f t="shared" si="10"/>
        <v>0</v>
      </c>
      <c r="O94" s="17"/>
      <c r="P94" s="10">
        <f t="shared" si="12"/>
        <v>0</v>
      </c>
      <c r="Q94" s="11">
        <f t="shared" si="11"/>
        <v>0</v>
      </c>
      <c r="R94" s="18">
        <f t="shared" si="13"/>
        <v>1</v>
      </c>
    </row>
    <row r="95" spans="1:18" ht="31.5" customHeight="1" x14ac:dyDescent="0.85">
      <c r="A95" s="12" t="s">
        <v>108</v>
      </c>
      <c r="B95" s="8">
        <f>'[1]Term 1 Summary Sheet'!$B$95</f>
        <v>0</v>
      </c>
      <c r="C95" s="15"/>
      <c r="D95" s="15"/>
      <c r="E95" s="15"/>
      <c r="F95" s="16"/>
      <c r="G95" s="16"/>
      <c r="H95" s="16"/>
      <c r="I95" s="16"/>
      <c r="J95" s="16"/>
      <c r="K95" s="16"/>
      <c r="L95" s="16"/>
      <c r="M95" s="9">
        <f t="shared" si="9"/>
        <v>0</v>
      </c>
      <c r="N95" s="10">
        <f t="shared" si="10"/>
        <v>0</v>
      </c>
      <c r="O95" s="17"/>
      <c r="P95" s="10">
        <f t="shared" si="12"/>
        <v>0</v>
      </c>
      <c r="Q95" s="11">
        <f t="shared" si="11"/>
        <v>0</v>
      </c>
      <c r="R95" s="18">
        <f t="shared" si="13"/>
        <v>1</v>
      </c>
    </row>
    <row r="96" spans="1:18" ht="31.5" customHeight="1" x14ac:dyDescent="0.85">
      <c r="A96" s="12" t="s">
        <v>109</v>
      </c>
      <c r="B96" s="8">
        <f>'[1]Term 1 Summary Sheet'!$B$96</f>
        <v>0</v>
      </c>
      <c r="C96" s="15"/>
      <c r="D96" s="15"/>
      <c r="E96" s="15"/>
      <c r="F96" s="16"/>
      <c r="G96" s="16"/>
      <c r="H96" s="16"/>
      <c r="I96" s="16"/>
      <c r="J96" s="16"/>
      <c r="K96" s="16"/>
      <c r="L96" s="16"/>
      <c r="M96" s="9">
        <f t="shared" si="9"/>
        <v>0</v>
      </c>
      <c r="N96" s="10">
        <f t="shared" si="10"/>
        <v>0</v>
      </c>
      <c r="O96" s="17"/>
      <c r="P96" s="10">
        <f t="shared" si="12"/>
        <v>0</v>
      </c>
      <c r="Q96" s="11">
        <f t="shared" si="11"/>
        <v>0</v>
      </c>
      <c r="R96" s="18">
        <f t="shared" si="13"/>
        <v>1</v>
      </c>
    </row>
    <row r="97" spans="1:18" ht="31.5" customHeight="1" x14ac:dyDescent="0.85">
      <c r="A97" s="12" t="s">
        <v>110</v>
      </c>
      <c r="B97" s="8">
        <f>'[1]Term 1 Summary Sheet'!$B$97</f>
        <v>0</v>
      </c>
      <c r="C97" s="15"/>
      <c r="D97" s="15"/>
      <c r="E97" s="15"/>
      <c r="F97" s="16"/>
      <c r="G97" s="16"/>
      <c r="H97" s="16"/>
      <c r="I97" s="16"/>
      <c r="J97" s="16"/>
      <c r="K97" s="16"/>
      <c r="L97" s="16"/>
      <c r="M97" s="9">
        <f t="shared" si="9"/>
        <v>0</v>
      </c>
      <c r="N97" s="10">
        <f t="shared" si="10"/>
        <v>0</v>
      </c>
      <c r="O97" s="17"/>
      <c r="P97" s="10">
        <f t="shared" si="12"/>
        <v>0</v>
      </c>
      <c r="Q97" s="11">
        <f t="shared" si="11"/>
        <v>0</v>
      </c>
      <c r="R97" s="18">
        <f t="shared" si="13"/>
        <v>1</v>
      </c>
    </row>
    <row r="98" spans="1:18" ht="31.5" customHeight="1" x14ac:dyDescent="0.85">
      <c r="A98" s="12" t="s">
        <v>111</v>
      </c>
      <c r="B98" s="8">
        <f>'[1]Term 1 Summary Sheet'!$B$98</f>
        <v>0</v>
      </c>
      <c r="C98" s="15"/>
      <c r="D98" s="15"/>
      <c r="E98" s="15"/>
      <c r="F98" s="16"/>
      <c r="G98" s="16"/>
      <c r="H98" s="16"/>
      <c r="I98" s="16"/>
      <c r="J98" s="16"/>
      <c r="K98" s="16"/>
      <c r="L98" s="16"/>
      <c r="M98" s="9">
        <f t="shared" si="9"/>
        <v>0</v>
      </c>
      <c r="N98" s="10">
        <f t="shared" si="10"/>
        <v>0</v>
      </c>
      <c r="O98" s="17"/>
      <c r="P98" s="10">
        <f t="shared" si="12"/>
        <v>0</v>
      </c>
      <c r="Q98" s="11">
        <f t="shared" si="11"/>
        <v>0</v>
      </c>
      <c r="R98" s="18">
        <f t="shared" si="13"/>
        <v>1</v>
      </c>
    </row>
    <row r="99" spans="1:18" ht="31.5" customHeight="1" x14ac:dyDescent="0.85">
      <c r="A99" s="12" t="s">
        <v>112</v>
      </c>
      <c r="B99" s="8">
        <f>'[1]Term 1 Summary Sheet'!$B$99</f>
        <v>0</v>
      </c>
      <c r="C99" s="15"/>
      <c r="D99" s="15"/>
      <c r="E99" s="15"/>
      <c r="F99" s="16"/>
      <c r="G99" s="16"/>
      <c r="H99" s="16"/>
      <c r="I99" s="16"/>
      <c r="J99" s="16"/>
      <c r="K99" s="16"/>
      <c r="L99" s="16"/>
      <c r="M99" s="9">
        <f t="shared" si="9"/>
        <v>0</v>
      </c>
      <c r="N99" s="10">
        <f t="shared" si="10"/>
        <v>0</v>
      </c>
      <c r="O99" s="17"/>
      <c r="P99" s="10">
        <f t="shared" si="12"/>
        <v>0</v>
      </c>
      <c r="Q99" s="11">
        <f t="shared" si="11"/>
        <v>0</v>
      </c>
      <c r="R99" s="18">
        <f t="shared" si="13"/>
        <v>1</v>
      </c>
    </row>
    <row r="100" spans="1:18" ht="31.5" customHeight="1" x14ac:dyDescent="0.85">
      <c r="A100" s="12" t="s">
        <v>113</v>
      </c>
      <c r="B100" s="8">
        <f>'[1]Term 1 Summary Sheet'!$B$100</f>
        <v>0</v>
      </c>
      <c r="C100" s="15"/>
      <c r="D100" s="15"/>
      <c r="E100" s="15"/>
      <c r="F100" s="16"/>
      <c r="G100" s="16"/>
      <c r="H100" s="16"/>
      <c r="I100" s="16"/>
      <c r="J100" s="16"/>
      <c r="K100" s="16"/>
      <c r="L100" s="16"/>
      <c r="M100" s="9">
        <f t="shared" ref="M100:M131" si="14">SUM(C100:L100)</f>
        <v>0</v>
      </c>
      <c r="N100" s="10">
        <f t="shared" ref="N100:N104" si="15">M100/100 *50</f>
        <v>0</v>
      </c>
      <c r="O100" s="17"/>
      <c r="P100" s="10">
        <f t="shared" si="12"/>
        <v>0</v>
      </c>
      <c r="Q100" s="11">
        <f t="shared" si="11"/>
        <v>0</v>
      </c>
      <c r="R100" s="18">
        <f t="shared" si="13"/>
        <v>1</v>
      </c>
    </row>
    <row r="101" spans="1:18" ht="31.5" customHeight="1" x14ac:dyDescent="0.85">
      <c r="A101" s="12" t="s">
        <v>114</v>
      </c>
      <c r="B101" s="8">
        <f>'[1]Term 1 Summary Sheet'!$B$101</f>
        <v>0</v>
      </c>
      <c r="C101" s="15"/>
      <c r="D101" s="15"/>
      <c r="E101" s="15"/>
      <c r="F101" s="16"/>
      <c r="G101" s="16"/>
      <c r="H101" s="16"/>
      <c r="I101" s="16"/>
      <c r="J101" s="16"/>
      <c r="K101" s="16"/>
      <c r="L101" s="16"/>
      <c r="M101" s="9">
        <f t="shared" si="14"/>
        <v>0</v>
      </c>
      <c r="N101" s="10">
        <f t="shared" si="15"/>
        <v>0</v>
      </c>
      <c r="O101" s="17"/>
      <c r="P101" s="10">
        <f t="shared" ref="P101:P104" si="16">O101/100 *50</f>
        <v>0</v>
      </c>
      <c r="Q101" s="11">
        <f t="shared" si="11"/>
        <v>0</v>
      </c>
      <c r="R101" s="18">
        <f t="shared" si="13"/>
        <v>1</v>
      </c>
    </row>
    <row r="102" spans="1:18" ht="31.5" customHeight="1" x14ac:dyDescent="0.85">
      <c r="A102" s="12" t="s">
        <v>115</v>
      </c>
      <c r="B102" s="8">
        <f>'[1]Term 1 Summary Sheet'!$B$102</f>
        <v>0</v>
      </c>
      <c r="C102" s="15"/>
      <c r="D102" s="15"/>
      <c r="E102" s="15"/>
      <c r="F102" s="16"/>
      <c r="G102" s="16"/>
      <c r="H102" s="16"/>
      <c r="I102" s="16"/>
      <c r="J102" s="16"/>
      <c r="K102" s="16"/>
      <c r="L102" s="16"/>
      <c r="M102" s="9">
        <f t="shared" si="14"/>
        <v>0</v>
      </c>
      <c r="N102" s="10">
        <f t="shared" si="15"/>
        <v>0</v>
      </c>
      <c r="O102" s="17"/>
      <c r="P102" s="10">
        <f t="shared" si="16"/>
        <v>0</v>
      </c>
      <c r="Q102" s="11">
        <f t="shared" si="11"/>
        <v>0</v>
      </c>
      <c r="R102" s="18">
        <f t="shared" si="13"/>
        <v>1</v>
      </c>
    </row>
    <row r="103" spans="1:18" ht="31.5" customHeight="1" x14ac:dyDescent="0.85">
      <c r="A103" s="12" t="s">
        <v>116</v>
      </c>
      <c r="B103" s="8">
        <f>'[1]Term 1 Summary Sheet'!$B$103</f>
        <v>0</v>
      </c>
      <c r="C103" s="15"/>
      <c r="D103" s="15"/>
      <c r="E103" s="15"/>
      <c r="F103" s="16"/>
      <c r="G103" s="16"/>
      <c r="H103" s="16"/>
      <c r="I103" s="16"/>
      <c r="J103" s="16"/>
      <c r="K103" s="16"/>
      <c r="L103" s="16"/>
      <c r="M103" s="9">
        <f t="shared" si="14"/>
        <v>0</v>
      </c>
      <c r="N103" s="10">
        <f t="shared" si="15"/>
        <v>0</v>
      </c>
      <c r="O103" s="17"/>
      <c r="P103" s="10">
        <f t="shared" si="16"/>
        <v>0</v>
      </c>
      <c r="Q103" s="11">
        <f t="shared" si="11"/>
        <v>0</v>
      </c>
      <c r="R103" s="18">
        <f t="shared" si="13"/>
        <v>1</v>
      </c>
    </row>
    <row r="104" spans="1:18" ht="31.5" customHeight="1" x14ac:dyDescent="0.85">
      <c r="A104" s="12" t="s">
        <v>117</v>
      </c>
      <c r="B104" s="8">
        <f>'[1]Term 1 Summary Sheet'!$B$104</f>
        <v>0</v>
      </c>
      <c r="C104" s="19"/>
      <c r="D104" s="19"/>
      <c r="E104" s="19"/>
      <c r="F104" s="20"/>
      <c r="G104" s="20"/>
      <c r="H104" s="20"/>
      <c r="I104" s="20"/>
      <c r="J104" s="20"/>
      <c r="K104" s="20"/>
      <c r="L104" s="20"/>
      <c r="M104" s="9">
        <f t="shared" si="14"/>
        <v>0</v>
      </c>
      <c r="N104" s="10">
        <f t="shared" si="15"/>
        <v>0</v>
      </c>
      <c r="O104" s="21"/>
      <c r="P104" s="22">
        <f t="shared" si="16"/>
        <v>0</v>
      </c>
      <c r="Q104" s="11">
        <f t="shared" si="11"/>
        <v>0</v>
      </c>
      <c r="R104" s="18">
        <f t="shared" si="13"/>
        <v>1</v>
      </c>
    </row>
    <row r="105" spans="1:18" ht="20.399999999999999" x14ac:dyDescent="0.7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 spans="1:18" ht="20.399999999999999" x14ac:dyDescent="0.7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</row>
    <row r="107" spans="1:18" ht="20.399999999999999" x14ac:dyDescent="0.7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8" ht="20.399999999999999" x14ac:dyDescent="0.7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</row>
  </sheetData>
  <sheetProtection algorithmName="SHA-512" hashValue="UEiZ+AyU9ryqHB4GtKe3KhQvJNb0Pg5oq/W/wjz4A2bCMt8FDeol9bVPXhqembglQjnVkb2is7leHmzJDT8FaQ==" saltValue="WOY5tfhZR5zdeR7J4Wiwhg==" spinCount="100000" sheet="1" objects="1" scenarios="1" selectLockedCells="1" sort="0" autoFilter="0"/>
  <mergeCells count="1">
    <mergeCell ref="A1:R1"/>
  </mergeCells>
  <phoneticPr fontId="12" type="noConversion"/>
  <dataValidations count="2">
    <dataValidation type="decimal" allowBlank="1" showInputMessage="1" showErrorMessage="1" sqref="C5:L104" xr:uid="{34F94D33-99F9-46C9-8FDF-50380AE24FE2}">
      <formula1>0</formula1>
      <formula2>10</formula2>
    </dataValidation>
    <dataValidation type="decimal" allowBlank="1" showInputMessage="1" showErrorMessage="1" sqref="O5:O104" xr:uid="{D8985D91-7464-428F-927F-C517557F0CF5}">
      <formula1>0</formula1>
      <formula2>100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EEF65-B5E1-4E85-93F4-4D4BC5849FEB}">
  <sheetPr>
    <tabColor rgb="FF00B0F0"/>
  </sheetPr>
  <dimension ref="A1:R108"/>
  <sheetViews>
    <sheetView zoomScale="80" zoomScaleNormal="80" workbookViewId="0">
      <pane xSplit="2" ySplit="3" topLeftCell="C4" activePane="bottomRight" state="frozen"/>
      <selection pane="topRight" activeCell="P3" sqref="P3"/>
      <selection pane="bottomLeft" activeCell="P3" sqref="P3"/>
      <selection pane="bottomRight" activeCell="M5" sqref="M5"/>
    </sheetView>
  </sheetViews>
  <sheetFormatPr defaultRowHeight="14.4" x14ac:dyDescent="0.3"/>
  <cols>
    <col min="1" max="1" width="13.88671875" style="2" customWidth="1"/>
    <col min="2" max="2" width="71.44140625" bestFit="1" customWidth="1"/>
    <col min="3" max="7" width="20.6640625" customWidth="1"/>
    <col min="8" max="12" width="25.109375" customWidth="1"/>
    <col min="13" max="13" width="24.44140625" customWidth="1"/>
    <col min="14" max="14" width="25.88671875" customWidth="1"/>
    <col min="15" max="15" width="21.109375" bestFit="1" customWidth="1"/>
    <col min="16" max="16" width="21.109375" customWidth="1"/>
    <col min="17" max="17" width="23.44140625" bestFit="1" customWidth="1"/>
    <col min="18" max="18" width="21.109375" customWidth="1"/>
  </cols>
  <sheetData>
    <row r="1" spans="1:18" ht="60" customHeight="1" x14ac:dyDescent="1.8">
      <c r="A1" s="31" t="s">
        <v>219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31.5" customHeight="1" x14ac:dyDescent="0.35">
      <c r="A2" s="4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8" s="1" customFormat="1" ht="48" customHeight="1" thickBot="1" x14ac:dyDescent="0.35">
      <c r="A3" s="23" t="s">
        <v>0</v>
      </c>
      <c r="B3" s="23" t="s">
        <v>1</v>
      </c>
      <c r="C3" s="24" t="s">
        <v>2</v>
      </c>
      <c r="D3" s="24" t="s">
        <v>3</v>
      </c>
      <c r="E3" s="24" t="s">
        <v>4</v>
      </c>
      <c r="F3" s="25" t="s">
        <v>5</v>
      </c>
      <c r="G3" s="25" t="s">
        <v>6</v>
      </c>
      <c r="H3" s="25" t="s">
        <v>7</v>
      </c>
      <c r="I3" s="25" t="s">
        <v>8</v>
      </c>
      <c r="J3" s="25" t="s">
        <v>9</v>
      </c>
      <c r="K3" s="25" t="s">
        <v>10</v>
      </c>
      <c r="L3" s="25" t="s">
        <v>11</v>
      </c>
      <c r="M3" s="26" t="s">
        <v>12</v>
      </c>
      <c r="N3" s="26" t="s">
        <v>13</v>
      </c>
      <c r="O3" s="26" t="s">
        <v>14</v>
      </c>
      <c r="P3" s="26" t="s">
        <v>15</v>
      </c>
      <c r="Q3" s="26" t="s">
        <v>16</v>
      </c>
      <c r="R3" s="26" t="s">
        <v>17</v>
      </c>
    </row>
    <row r="4" spans="1:18" ht="31.5" customHeight="1" x14ac:dyDescent="0.85">
      <c r="A4" s="13"/>
      <c r="B4" s="14"/>
      <c r="C4" s="27">
        <v>10</v>
      </c>
      <c r="D4" s="27">
        <v>10</v>
      </c>
      <c r="E4" s="27">
        <v>10</v>
      </c>
      <c r="F4" s="27">
        <v>10</v>
      </c>
      <c r="G4" s="27">
        <v>10</v>
      </c>
      <c r="H4" s="27">
        <v>10</v>
      </c>
      <c r="I4" s="27">
        <v>10</v>
      </c>
      <c r="J4" s="27">
        <v>10</v>
      </c>
      <c r="K4" s="27">
        <v>10</v>
      </c>
      <c r="L4" s="27">
        <v>10</v>
      </c>
      <c r="M4" s="28">
        <f t="shared" ref="M4:M35" si="0">SUM(C4:L4)</f>
        <v>100</v>
      </c>
      <c r="N4" s="29">
        <f t="shared" ref="N4:N35" si="1">M4/100 *50</f>
        <v>50</v>
      </c>
      <c r="O4" s="28">
        <v>100</v>
      </c>
      <c r="P4" s="29">
        <f t="shared" ref="P4:P67" si="2">O4/100 *50</f>
        <v>50</v>
      </c>
      <c r="Q4" s="30">
        <f t="shared" ref="Q4:Q67" si="3">SUM(N4,P4)</f>
        <v>100</v>
      </c>
      <c r="R4" s="11"/>
    </row>
    <row r="5" spans="1:18" ht="31.5" customHeight="1" x14ac:dyDescent="0.85">
      <c r="A5" s="12" t="s">
        <v>119</v>
      </c>
      <c r="B5" s="8">
        <f>'[1]Term 2 Summary Sheet'!$B$5</f>
        <v>0</v>
      </c>
      <c r="C5" s="15"/>
      <c r="D5" s="15"/>
      <c r="E5" s="15"/>
      <c r="F5" s="16"/>
      <c r="G5" s="16"/>
      <c r="H5" s="16"/>
      <c r="I5" s="16"/>
      <c r="J5" s="16"/>
      <c r="K5" s="16"/>
      <c r="L5" s="16"/>
      <c r="M5" s="9">
        <f t="shared" si="0"/>
        <v>0</v>
      </c>
      <c r="N5" s="10">
        <f t="shared" si="1"/>
        <v>0</v>
      </c>
      <c r="O5" s="17"/>
      <c r="P5" s="10">
        <f t="shared" si="2"/>
        <v>0</v>
      </c>
      <c r="Q5" s="11">
        <f t="shared" si="3"/>
        <v>0</v>
      </c>
      <c r="R5" s="18">
        <f>_xlfn.RANK.EQ(Q5,$Q$5:$Q$104,)</f>
        <v>1</v>
      </c>
    </row>
    <row r="6" spans="1:18" ht="31.5" customHeight="1" x14ac:dyDescent="0.85">
      <c r="A6" s="12" t="s">
        <v>120</v>
      </c>
      <c r="B6" s="8">
        <f>'[1]Term 2 Summary Sheet'!$B$6</f>
        <v>0</v>
      </c>
      <c r="C6" s="15"/>
      <c r="D6" s="15"/>
      <c r="E6" s="15"/>
      <c r="F6" s="16"/>
      <c r="G6" s="16"/>
      <c r="H6" s="16"/>
      <c r="I6" s="16"/>
      <c r="J6" s="16"/>
      <c r="K6" s="16"/>
      <c r="L6" s="16"/>
      <c r="M6" s="9">
        <f t="shared" si="0"/>
        <v>0</v>
      </c>
      <c r="N6" s="10">
        <f t="shared" si="1"/>
        <v>0</v>
      </c>
      <c r="O6" s="17"/>
      <c r="P6" s="10">
        <f t="shared" si="2"/>
        <v>0</v>
      </c>
      <c r="Q6" s="11">
        <f t="shared" si="3"/>
        <v>0</v>
      </c>
      <c r="R6" s="18">
        <f t="shared" ref="R6:R69" si="4">_xlfn.RANK.EQ(Q6,$Q$5:$Q$104,)</f>
        <v>1</v>
      </c>
    </row>
    <row r="7" spans="1:18" ht="31.5" customHeight="1" x14ac:dyDescent="0.85">
      <c r="A7" s="12" t="s">
        <v>121</v>
      </c>
      <c r="B7" s="8">
        <f>'[1]Term 2 Summary Sheet'!$B$7</f>
        <v>0</v>
      </c>
      <c r="C7" s="15"/>
      <c r="D7" s="15"/>
      <c r="E7" s="15"/>
      <c r="F7" s="16"/>
      <c r="G7" s="16"/>
      <c r="H7" s="16"/>
      <c r="I7" s="16"/>
      <c r="J7" s="16"/>
      <c r="K7" s="16"/>
      <c r="L7" s="16"/>
      <c r="M7" s="9">
        <f t="shared" si="0"/>
        <v>0</v>
      </c>
      <c r="N7" s="10">
        <f t="shared" si="1"/>
        <v>0</v>
      </c>
      <c r="O7" s="17"/>
      <c r="P7" s="10">
        <f t="shared" si="2"/>
        <v>0</v>
      </c>
      <c r="Q7" s="11">
        <f t="shared" si="3"/>
        <v>0</v>
      </c>
      <c r="R7" s="18">
        <f t="shared" si="4"/>
        <v>1</v>
      </c>
    </row>
    <row r="8" spans="1:18" ht="31.5" customHeight="1" x14ac:dyDescent="0.85">
      <c r="A8" s="12" t="s">
        <v>122</v>
      </c>
      <c r="B8" s="8">
        <f>'[1]Term 2 Summary Sheet'!$B$8</f>
        <v>0</v>
      </c>
      <c r="C8" s="15"/>
      <c r="D8" s="15"/>
      <c r="E8" s="15"/>
      <c r="F8" s="16"/>
      <c r="G8" s="16"/>
      <c r="H8" s="16"/>
      <c r="I8" s="16"/>
      <c r="J8" s="16"/>
      <c r="K8" s="16"/>
      <c r="L8" s="16"/>
      <c r="M8" s="9">
        <f t="shared" si="0"/>
        <v>0</v>
      </c>
      <c r="N8" s="10">
        <f t="shared" si="1"/>
        <v>0</v>
      </c>
      <c r="O8" s="17"/>
      <c r="P8" s="10">
        <f t="shared" si="2"/>
        <v>0</v>
      </c>
      <c r="Q8" s="11">
        <f t="shared" si="3"/>
        <v>0</v>
      </c>
      <c r="R8" s="18">
        <f t="shared" si="4"/>
        <v>1</v>
      </c>
    </row>
    <row r="9" spans="1:18" ht="31.5" customHeight="1" x14ac:dyDescent="0.85">
      <c r="A9" s="12" t="s">
        <v>123</v>
      </c>
      <c r="B9" s="8">
        <f>'[1]Term 2 Summary Sheet'!$B$9</f>
        <v>0</v>
      </c>
      <c r="C9" s="15"/>
      <c r="D9" s="15"/>
      <c r="E9" s="15"/>
      <c r="F9" s="16"/>
      <c r="G9" s="16"/>
      <c r="H9" s="16"/>
      <c r="I9" s="16"/>
      <c r="J9" s="16"/>
      <c r="K9" s="16"/>
      <c r="L9" s="16"/>
      <c r="M9" s="9">
        <f t="shared" si="0"/>
        <v>0</v>
      </c>
      <c r="N9" s="10">
        <f t="shared" si="1"/>
        <v>0</v>
      </c>
      <c r="O9" s="17"/>
      <c r="P9" s="10">
        <f t="shared" si="2"/>
        <v>0</v>
      </c>
      <c r="Q9" s="11">
        <f t="shared" si="3"/>
        <v>0</v>
      </c>
      <c r="R9" s="18">
        <f t="shared" si="4"/>
        <v>1</v>
      </c>
    </row>
    <row r="10" spans="1:18" ht="31.5" customHeight="1" x14ac:dyDescent="0.85">
      <c r="A10" s="12" t="s">
        <v>124</v>
      </c>
      <c r="B10" s="8">
        <f>'[1]Term 2 Summary Sheet'!$B$10</f>
        <v>0</v>
      </c>
      <c r="C10" s="15"/>
      <c r="D10" s="15"/>
      <c r="E10" s="15"/>
      <c r="F10" s="16"/>
      <c r="G10" s="16"/>
      <c r="H10" s="16"/>
      <c r="I10" s="16"/>
      <c r="J10" s="16"/>
      <c r="K10" s="16"/>
      <c r="L10" s="16"/>
      <c r="M10" s="9">
        <f t="shared" si="0"/>
        <v>0</v>
      </c>
      <c r="N10" s="10">
        <f t="shared" si="1"/>
        <v>0</v>
      </c>
      <c r="O10" s="17"/>
      <c r="P10" s="10">
        <f t="shared" si="2"/>
        <v>0</v>
      </c>
      <c r="Q10" s="11">
        <f t="shared" si="3"/>
        <v>0</v>
      </c>
      <c r="R10" s="18">
        <f t="shared" si="4"/>
        <v>1</v>
      </c>
    </row>
    <row r="11" spans="1:18" ht="31.5" customHeight="1" x14ac:dyDescent="0.85">
      <c r="A11" s="12" t="s">
        <v>125</v>
      </c>
      <c r="B11" s="8">
        <f>'[1]Term 2 Summary Sheet'!$B$11</f>
        <v>0</v>
      </c>
      <c r="C11" s="15"/>
      <c r="D11" s="15"/>
      <c r="E11" s="15"/>
      <c r="F11" s="16"/>
      <c r="G11" s="16"/>
      <c r="H11" s="16"/>
      <c r="I11" s="16"/>
      <c r="J11" s="16"/>
      <c r="K11" s="16"/>
      <c r="L11" s="16"/>
      <c r="M11" s="9">
        <f t="shared" si="0"/>
        <v>0</v>
      </c>
      <c r="N11" s="10">
        <f t="shared" si="1"/>
        <v>0</v>
      </c>
      <c r="O11" s="17"/>
      <c r="P11" s="10">
        <f t="shared" si="2"/>
        <v>0</v>
      </c>
      <c r="Q11" s="11">
        <f t="shared" si="3"/>
        <v>0</v>
      </c>
      <c r="R11" s="18">
        <f t="shared" si="4"/>
        <v>1</v>
      </c>
    </row>
    <row r="12" spans="1:18" ht="31.5" customHeight="1" x14ac:dyDescent="0.85">
      <c r="A12" s="12" t="s">
        <v>126</v>
      </c>
      <c r="B12" s="8">
        <f>'[1]Term 2 Summary Sheet'!$B$12</f>
        <v>0</v>
      </c>
      <c r="C12" s="15"/>
      <c r="D12" s="15"/>
      <c r="E12" s="15"/>
      <c r="F12" s="16"/>
      <c r="G12" s="16"/>
      <c r="H12" s="16"/>
      <c r="I12" s="16"/>
      <c r="J12" s="16"/>
      <c r="K12" s="16"/>
      <c r="L12" s="16"/>
      <c r="M12" s="9">
        <f t="shared" si="0"/>
        <v>0</v>
      </c>
      <c r="N12" s="10">
        <f t="shared" si="1"/>
        <v>0</v>
      </c>
      <c r="O12" s="17"/>
      <c r="P12" s="10">
        <f t="shared" si="2"/>
        <v>0</v>
      </c>
      <c r="Q12" s="11">
        <f t="shared" si="3"/>
        <v>0</v>
      </c>
      <c r="R12" s="18">
        <f t="shared" si="4"/>
        <v>1</v>
      </c>
    </row>
    <row r="13" spans="1:18" ht="31.5" customHeight="1" x14ac:dyDescent="0.85">
      <c r="A13" s="12" t="s">
        <v>127</v>
      </c>
      <c r="B13" s="8">
        <f>'[1]Term 2 Summary Sheet'!$B$13</f>
        <v>0</v>
      </c>
      <c r="C13" s="15"/>
      <c r="D13" s="15"/>
      <c r="E13" s="15"/>
      <c r="F13" s="16"/>
      <c r="G13" s="16"/>
      <c r="H13" s="16"/>
      <c r="I13" s="16"/>
      <c r="J13" s="16"/>
      <c r="K13" s="16"/>
      <c r="L13" s="16"/>
      <c r="M13" s="9">
        <f t="shared" si="0"/>
        <v>0</v>
      </c>
      <c r="N13" s="10">
        <f t="shared" si="1"/>
        <v>0</v>
      </c>
      <c r="O13" s="17"/>
      <c r="P13" s="10">
        <f t="shared" si="2"/>
        <v>0</v>
      </c>
      <c r="Q13" s="11">
        <f t="shared" si="3"/>
        <v>0</v>
      </c>
      <c r="R13" s="18">
        <f t="shared" si="4"/>
        <v>1</v>
      </c>
    </row>
    <row r="14" spans="1:18" ht="31.5" customHeight="1" x14ac:dyDescent="0.85">
      <c r="A14" s="12" t="s">
        <v>128</v>
      </c>
      <c r="B14" s="8">
        <f>'[1]Term 2 Summary Sheet'!$B$14</f>
        <v>0</v>
      </c>
      <c r="C14" s="15"/>
      <c r="D14" s="15"/>
      <c r="E14" s="15"/>
      <c r="F14" s="16"/>
      <c r="G14" s="16"/>
      <c r="H14" s="16"/>
      <c r="I14" s="16"/>
      <c r="J14" s="16"/>
      <c r="K14" s="16"/>
      <c r="L14" s="16"/>
      <c r="M14" s="9">
        <f t="shared" si="0"/>
        <v>0</v>
      </c>
      <c r="N14" s="10">
        <f t="shared" si="1"/>
        <v>0</v>
      </c>
      <c r="O14" s="17"/>
      <c r="P14" s="10">
        <f t="shared" si="2"/>
        <v>0</v>
      </c>
      <c r="Q14" s="11">
        <f t="shared" si="3"/>
        <v>0</v>
      </c>
      <c r="R14" s="18">
        <f t="shared" si="4"/>
        <v>1</v>
      </c>
    </row>
    <row r="15" spans="1:18" ht="31.5" customHeight="1" x14ac:dyDescent="0.85">
      <c r="A15" s="12" t="s">
        <v>129</v>
      </c>
      <c r="B15" s="8">
        <f>'[1]Term 2 Summary Sheet'!$B$15</f>
        <v>0</v>
      </c>
      <c r="C15" s="15"/>
      <c r="D15" s="15"/>
      <c r="E15" s="15"/>
      <c r="F15" s="16"/>
      <c r="G15" s="16"/>
      <c r="H15" s="16"/>
      <c r="I15" s="16"/>
      <c r="J15" s="16"/>
      <c r="K15" s="16"/>
      <c r="L15" s="16"/>
      <c r="M15" s="9">
        <f t="shared" si="0"/>
        <v>0</v>
      </c>
      <c r="N15" s="10">
        <f t="shared" si="1"/>
        <v>0</v>
      </c>
      <c r="O15" s="17"/>
      <c r="P15" s="10">
        <f t="shared" si="2"/>
        <v>0</v>
      </c>
      <c r="Q15" s="11">
        <f t="shared" si="3"/>
        <v>0</v>
      </c>
      <c r="R15" s="18">
        <f t="shared" si="4"/>
        <v>1</v>
      </c>
    </row>
    <row r="16" spans="1:18" ht="31.5" customHeight="1" x14ac:dyDescent="0.85">
      <c r="A16" s="12" t="s">
        <v>130</v>
      </c>
      <c r="B16" s="8">
        <f>'[1]Term 2 Summary Sheet'!$B$16</f>
        <v>0</v>
      </c>
      <c r="C16" s="15"/>
      <c r="D16" s="15"/>
      <c r="E16" s="15"/>
      <c r="F16" s="16"/>
      <c r="G16" s="16"/>
      <c r="H16" s="16"/>
      <c r="I16" s="16"/>
      <c r="J16" s="16"/>
      <c r="K16" s="16"/>
      <c r="L16" s="16"/>
      <c r="M16" s="9">
        <f t="shared" si="0"/>
        <v>0</v>
      </c>
      <c r="N16" s="10">
        <f t="shared" si="1"/>
        <v>0</v>
      </c>
      <c r="O16" s="17"/>
      <c r="P16" s="10">
        <f t="shared" si="2"/>
        <v>0</v>
      </c>
      <c r="Q16" s="11">
        <f t="shared" si="3"/>
        <v>0</v>
      </c>
      <c r="R16" s="18">
        <f t="shared" si="4"/>
        <v>1</v>
      </c>
    </row>
    <row r="17" spans="1:18" ht="31.5" customHeight="1" x14ac:dyDescent="0.85">
      <c r="A17" s="12" t="s">
        <v>131</v>
      </c>
      <c r="B17" s="8">
        <f>'[1]Term 2 Summary Sheet'!$B$17</f>
        <v>0</v>
      </c>
      <c r="C17" s="15"/>
      <c r="D17" s="15"/>
      <c r="E17" s="15"/>
      <c r="F17" s="16"/>
      <c r="G17" s="16"/>
      <c r="H17" s="16"/>
      <c r="I17" s="16"/>
      <c r="J17" s="16"/>
      <c r="K17" s="16"/>
      <c r="L17" s="16"/>
      <c r="M17" s="9">
        <f t="shared" si="0"/>
        <v>0</v>
      </c>
      <c r="N17" s="10">
        <f t="shared" si="1"/>
        <v>0</v>
      </c>
      <c r="O17" s="17"/>
      <c r="P17" s="10">
        <f t="shared" si="2"/>
        <v>0</v>
      </c>
      <c r="Q17" s="11">
        <f t="shared" si="3"/>
        <v>0</v>
      </c>
      <c r="R17" s="18">
        <f t="shared" si="4"/>
        <v>1</v>
      </c>
    </row>
    <row r="18" spans="1:18" ht="31.5" customHeight="1" x14ac:dyDescent="0.85">
      <c r="A18" s="12" t="s">
        <v>132</v>
      </c>
      <c r="B18" s="8">
        <f>'[1]Term 2 Summary Sheet'!$B$18</f>
        <v>0</v>
      </c>
      <c r="C18" s="15"/>
      <c r="D18" s="15"/>
      <c r="E18" s="15"/>
      <c r="F18" s="16"/>
      <c r="G18" s="16"/>
      <c r="H18" s="16"/>
      <c r="I18" s="16"/>
      <c r="J18" s="16"/>
      <c r="K18" s="16"/>
      <c r="L18" s="16"/>
      <c r="M18" s="9">
        <f t="shared" si="0"/>
        <v>0</v>
      </c>
      <c r="N18" s="10">
        <f t="shared" si="1"/>
        <v>0</v>
      </c>
      <c r="O18" s="17"/>
      <c r="P18" s="10">
        <f t="shared" si="2"/>
        <v>0</v>
      </c>
      <c r="Q18" s="11">
        <f t="shared" si="3"/>
        <v>0</v>
      </c>
      <c r="R18" s="18">
        <f t="shared" si="4"/>
        <v>1</v>
      </c>
    </row>
    <row r="19" spans="1:18" ht="31.5" customHeight="1" x14ac:dyDescent="0.85">
      <c r="A19" s="12" t="s">
        <v>133</v>
      </c>
      <c r="B19" s="8">
        <f>'[1]Term 2 Summary Sheet'!$B$19</f>
        <v>0</v>
      </c>
      <c r="C19" s="15"/>
      <c r="D19" s="15"/>
      <c r="E19" s="15"/>
      <c r="F19" s="16"/>
      <c r="G19" s="16"/>
      <c r="H19" s="16"/>
      <c r="I19" s="16"/>
      <c r="J19" s="16"/>
      <c r="K19" s="16"/>
      <c r="L19" s="16"/>
      <c r="M19" s="9">
        <f t="shared" si="0"/>
        <v>0</v>
      </c>
      <c r="N19" s="10">
        <f t="shared" si="1"/>
        <v>0</v>
      </c>
      <c r="O19" s="17"/>
      <c r="P19" s="10">
        <f t="shared" si="2"/>
        <v>0</v>
      </c>
      <c r="Q19" s="11">
        <f t="shared" si="3"/>
        <v>0</v>
      </c>
      <c r="R19" s="18">
        <f t="shared" si="4"/>
        <v>1</v>
      </c>
    </row>
    <row r="20" spans="1:18" ht="31.5" customHeight="1" x14ac:dyDescent="0.85">
      <c r="A20" s="12" t="s">
        <v>134</v>
      </c>
      <c r="B20" s="8">
        <f>'[1]Term 2 Summary Sheet'!$B$20</f>
        <v>0</v>
      </c>
      <c r="C20" s="15"/>
      <c r="D20" s="15"/>
      <c r="E20" s="15"/>
      <c r="F20" s="16"/>
      <c r="G20" s="16"/>
      <c r="H20" s="16"/>
      <c r="I20" s="16"/>
      <c r="J20" s="16"/>
      <c r="K20" s="16"/>
      <c r="L20" s="16"/>
      <c r="M20" s="9">
        <f t="shared" si="0"/>
        <v>0</v>
      </c>
      <c r="N20" s="10">
        <f t="shared" si="1"/>
        <v>0</v>
      </c>
      <c r="O20" s="17"/>
      <c r="P20" s="10">
        <f t="shared" si="2"/>
        <v>0</v>
      </c>
      <c r="Q20" s="11">
        <f t="shared" si="3"/>
        <v>0</v>
      </c>
      <c r="R20" s="18">
        <f t="shared" si="4"/>
        <v>1</v>
      </c>
    </row>
    <row r="21" spans="1:18" ht="31.5" customHeight="1" x14ac:dyDescent="0.85">
      <c r="A21" s="12" t="s">
        <v>135</v>
      </c>
      <c r="B21" s="8">
        <f>'[1]Term 2 Summary Sheet'!$B$21</f>
        <v>0</v>
      </c>
      <c r="C21" s="15"/>
      <c r="D21" s="15"/>
      <c r="E21" s="15"/>
      <c r="F21" s="16"/>
      <c r="G21" s="16"/>
      <c r="H21" s="16"/>
      <c r="I21" s="16"/>
      <c r="J21" s="16"/>
      <c r="K21" s="16"/>
      <c r="L21" s="16"/>
      <c r="M21" s="9">
        <f t="shared" si="0"/>
        <v>0</v>
      </c>
      <c r="N21" s="10">
        <f t="shared" si="1"/>
        <v>0</v>
      </c>
      <c r="O21" s="17"/>
      <c r="P21" s="10">
        <f t="shared" si="2"/>
        <v>0</v>
      </c>
      <c r="Q21" s="11">
        <f t="shared" si="3"/>
        <v>0</v>
      </c>
      <c r="R21" s="18">
        <f t="shared" si="4"/>
        <v>1</v>
      </c>
    </row>
    <row r="22" spans="1:18" ht="31.5" customHeight="1" x14ac:dyDescent="0.85">
      <c r="A22" s="12" t="s">
        <v>136</v>
      </c>
      <c r="B22" s="8">
        <f>'[1]Term 2 Summary Sheet'!$B$22</f>
        <v>0</v>
      </c>
      <c r="C22" s="15"/>
      <c r="D22" s="15"/>
      <c r="E22" s="15"/>
      <c r="F22" s="16"/>
      <c r="G22" s="16"/>
      <c r="H22" s="16"/>
      <c r="I22" s="16"/>
      <c r="J22" s="16"/>
      <c r="K22" s="16"/>
      <c r="L22" s="16"/>
      <c r="M22" s="9">
        <f t="shared" si="0"/>
        <v>0</v>
      </c>
      <c r="N22" s="10">
        <f t="shared" si="1"/>
        <v>0</v>
      </c>
      <c r="O22" s="17"/>
      <c r="P22" s="10">
        <f t="shared" si="2"/>
        <v>0</v>
      </c>
      <c r="Q22" s="11">
        <f t="shared" si="3"/>
        <v>0</v>
      </c>
      <c r="R22" s="18">
        <f t="shared" si="4"/>
        <v>1</v>
      </c>
    </row>
    <row r="23" spans="1:18" ht="31.5" customHeight="1" x14ac:dyDescent="0.85">
      <c r="A23" s="12" t="s">
        <v>137</v>
      </c>
      <c r="B23" s="8">
        <f>'[1]Term 2 Summary Sheet'!$B$23</f>
        <v>0</v>
      </c>
      <c r="C23" s="15"/>
      <c r="D23" s="15"/>
      <c r="E23" s="15"/>
      <c r="F23" s="16"/>
      <c r="G23" s="16"/>
      <c r="H23" s="16"/>
      <c r="I23" s="16"/>
      <c r="J23" s="16"/>
      <c r="K23" s="16"/>
      <c r="L23" s="16"/>
      <c r="M23" s="9">
        <f t="shared" si="0"/>
        <v>0</v>
      </c>
      <c r="N23" s="10">
        <f t="shared" si="1"/>
        <v>0</v>
      </c>
      <c r="O23" s="17"/>
      <c r="P23" s="10">
        <f t="shared" si="2"/>
        <v>0</v>
      </c>
      <c r="Q23" s="11">
        <f t="shared" si="3"/>
        <v>0</v>
      </c>
      <c r="R23" s="18">
        <f t="shared" si="4"/>
        <v>1</v>
      </c>
    </row>
    <row r="24" spans="1:18" ht="31.5" customHeight="1" x14ac:dyDescent="0.85">
      <c r="A24" s="12" t="s">
        <v>138</v>
      </c>
      <c r="B24" s="8">
        <f>'[1]Term 2 Summary Sheet'!$B$24</f>
        <v>0</v>
      </c>
      <c r="C24" s="15"/>
      <c r="D24" s="15"/>
      <c r="E24" s="15"/>
      <c r="F24" s="16"/>
      <c r="G24" s="16"/>
      <c r="H24" s="16"/>
      <c r="I24" s="16"/>
      <c r="J24" s="16"/>
      <c r="K24" s="16"/>
      <c r="L24" s="16"/>
      <c r="M24" s="9">
        <f t="shared" si="0"/>
        <v>0</v>
      </c>
      <c r="N24" s="10">
        <f t="shared" si="1"/>
        <v>0</v>
      </c>
      <c r="O24" s="17"/>
      <c r="P24" s="10">
        <f t="shared" si="2"/>
        <v>0</v>
      </c>
      <c r="Q24" s="11">
        <f t="shared" si="3"/>
        <v>0</v>
      </c>
      <c r="R24" s="18">
        <f t="shared" si="4"/>
        <v>1</v>
      </c>
    </row>
    <row r="25" spans="1:18" ht="31.5" customHeight="1" x14ac:dyDescent="0.85">
      <c r="A25" s="12" t="s">
        <v>139</v>
      </c>
      <c r="B25" s="8">
        <f>'[1]Term 2 Summary Sheet'!$B$25</f>
        <v>0</v>
      </c>
      <c r="C25" s="15"/>
      <c r="D25" s="15"/>
      <c r="E25" s="15"/>
      <c r="F25" s="16"/>
      <c r="G25" s="16"/>
      <c r="H25" s="16"/>
      <c r="I25" s="16"/>
      <c r="J25" s="16"/>
      <c r="K25" s="16"/>
      <c r="L25" s="16"/>
      <c r="M25" s="9">
        <f t="shared" si="0"/>
        <v>0</v>
      </c>
      <c r="N25" s="10">
        <f t="shared" si="1"/>
        <v>0</v>
      </c>
      <c r="O25" s="17"/>
      <c r="P25" s="10">
        <f t="shared" si="2"/>
        <v>0</v>
      </c>
      <c r="Q25" s="11">
        <f t="shared" si="3"/>
        <v>0</v>
      </c>
      <c r="R25" s="18">
        <f t="shared" si="4"/>
        <v>1</v>
      </c>
    </row>
    <row r="26" spans="1:18" ht="31.5" customHeight="1" x14ac:dyDescent="0.85">
      <c r="A26" s="12" t="s">
        <v>140</v>
      </c>
      <c r="B26" s="8">
        <f>'[1]Term 2 Summary Sheet'!$B$26</f>
        <v>0</v>
      </c>
      <c r="C26" s="15"/>
      <c r="D26" s="15"/>
      <c r="E26" s="15"/>
      <c r="F26" s="16"/>
      <c r="G26" s="16"/>
      <c r="H26" s="16"/>
      <c r="I26" s="16"/>
      <c r="J26" s="16"/>
      <c r="K26" s="16"/>
      <c r="L26" s="16"/>
      <c r="M26" s="9">
        <f t="shared" si="0"/>
        <v>0</v>
      </c>
      <c r="N26" s="10">
        <f t="shared" si="1"/>
        <v>0</v>
      </c>
      <c r="O26" s="17"/>
      <c r="P26" s="10">
        <f t="shared" si="2"/>
        <v>0</v>
      </c>
      <c r="Q26" s="11">
        <f t="shared" si="3"/>
        <v>0</v>
      </c>
      <c r="R26" s="18">
        <f t="shared" si="4"/>
        <v>1</v>
      </c>
    </row>
    <row r="27" spans="1:18" ht="31.5" customHeight="1" x14ac:dyDescent="0.85">
      <c r="A27" s="12" t="s">
        <v>141</v>
      </c>
      <c r="B27" s="8">
        <f>'[1]Term 2 Summary Sheet'!$B$27</f>
        <v>0</v>
      </c>
      <c r="C27" s="15"/>
      <c r="D27" s="15"/>
      <c r="E27" s="15"/>
      <c r="F27" s="16"/>
      <c r="G27" s="16"/>
      <c r="H27" s="16"/>
      <c r="I27" s="16"/>
      <c r="J27" s="16"/>
      <c r="K27" s="16"/>
      <c r="L27" s="16"/>
      <c r="M27" s="9">
        <f t="shared" si="0"/>
        <v>0</v>
      </c>
      <c r="N27" s="10">
        <f t="shared" si="1"/>
        <v>0</v>
      </c>
      <c r="O27" s="17"/>
      <c r="P27" s="10">
        <f t="shared" si="2"/>
        <v>0</v>
      </c>
      <c r="Q27" s="11">
        <f t="shared" si="3"/>
        <v>0</v>
      </c>
      <c r="R27" s="18">
        <f t="shared" si="4"/>
        <v>1</v>
      </c>
    </row>
    <row r="28" spans="1:18" ht="31.5" customHeight="1" x14ac:dyDescent="0.85">
      <c r="A28" s="12" t="s">
        <v>142</v>
      </c>
      <c r="B28" s="8">
        <f>'[1]Term 2 Summary Sheet'!$B$28</f>
        <v>0</v>
      </c>
      <c r="C28" s="15"/>
      <c r="D28" s="15"/>
      <c r="E28" s="15"/>
      <c r="F28" s="16"/>
      <c r="G28" s="16"/>
      <c r="H28" s="16"/>
      <c r="I28" s="16"/>
      <c r="J28" s="16"/>
      <c r="K28" s="16"/>
      <c r="L28" s="16"/>
      <c r="M28" s="9">
        <f t="shared" si="0"/>
        <v>0</v>
      </c>
      <c r="N28" s="10">
        <f t="shared" si="1"/>
        <v>0</v>
      </c>
      <c r="O28" s="17"/>
      <c r="P28" s="10">
        <f t="shared" si="2"/>
        <v>0</v>
      </c>
      <c r="Q28" s="11">
        <f t="shared" si="3"/>
        <v>0</v>
      </c>
      <c r="R28" s="18">
        <f t="shared" si="4"/>
        <v>1</v>
      </c>
    </row>
    <row r="29" spans="1:18" ht="31.5" customHeight="1" x14ac:dyDescent="0.85">
      <c r="A29" s="12" t="s">
        <v>143</v>
      </c>
      <c r="B29" s="8">
        <f>'[1]Term 2 Summary Sheet'!$B$29</f>
        <v>0</v>
      </c>
      <c r="C29" s="15"/>
      <c r="D29" s="15"/>
      <c r="E29" s="15"/>
      <c r="F29" s="16"/>
      <c r="G29" s="16"/>
      <c r="H29" s="16"/>
      <c r="I29" s="16"/>
      <c r="J29" s="16"/>
      <c r="K29" s="16"/>
      <c r="L29" s="16"/>
      <c r="M29" s="9">
        <f t="shared" si="0"/>
        <v>0</v>
      </c>
      <c r="N29" s="10">
        <f t="shared" si="1"/>
        <v>0</v>
      </c>
      <c r="O29" s="17"/>
      <c r="P29" s="10">
        <f t="shared" si="2"/>
        <v>0</v>
      </c>
      <c r="Q29" s="11">
        <f t="shared" si="3"/>
        <v>0</v>
      </c>
      <c r="R29" s="18">
        <f t="shared" si="4"/>
        <v>1</v>
      </c>
    </row>
    <row r="30" spans="1:18" ht="31.5" customHeight="1" x14ac:dyDescent="0.85">
      <c r="A30" s="12" t="s">
        <v>144</v>
      </c>
      <c r="B30" s="8">
        <f>'[1]Term 2 Summary Sheet'!$B$30</f>
        <v>0</v>
      </c>
      <c r="C30" s="15"/>
      <c r="D30" s="15"/>
      <c r="E30" s="15"/>
      <c r="F30" s="16"/>
      <c r="G30" s="16"/>
      <c r="H30" s="16"/>
      <c r="I30" s="16"/>
      <c r="J30" s="16"/>
      <c r="K30" s="16"/>
      <c r="L30" s="16"/>
      <c r="M30" s="9">
        <f t="shared" si="0"/>
        <v>0</v>
      </c>
      <c r="N30" s="10">
        <f t="shared" si="1"/>
        <v>0</v>
      </c>
      <c r="O30" s="17"/>
      <c r="P30" s="10">
        <f t="shared" si="2"/>
        <v>0</v>
      </c>
      <c r="Q30" s="11">
        <f t="shared" si="3"/>
        <v>0</v>
      </c>
      <c r="R30" s="18">
        <f t="shared" si="4"/>
        <v>1</v>
      </c>
    </row>
    <row r="31" spans="1:18" ht="31.5" customHeight="1" x14ac:dyDescent="0.85">
      <c r="A31" s="12" t="s">
        <v>145</v>
      </c>
      <c r="B31" s="8">
        <f>'[1]Term 2 Summary Sheet'!$B$31</f>
        <v>0</v>
      </c>
      <c r="C31" s="15"/>
      <c r="D31" s="15"/>
      <c r="E31" s="15"/>
      <c r="F31" s="16"/>
      <c r="G31" s="16"/>
      <c r="H31" s="16"/>
      <c r="I31" s="16"/>
      <c r="J31" s="16"/>
      <c r="K31" s="16"/>
      <c r="L31" s="16"/>
      <c r="M31" s="9">
        <f t="shared" si="0"/>
        <v>0</v>
      </c>
      <c r="N31" s="10">
        <f t="shared" si="1"/>
        <v>0</v>
      </c>
      <c r="O31" s="17"/>
      <c r="P31" s="10">
        <f t="shared" si="2"/>
        <v>0</v>
      </c>
      <c r="Q31" s="11">
        <f t="shared" si="3"/>
        <v>0</v>
      </c>
      <c r="R31" s="18">
        <f t="shared" si="4"/>
        <v>1</v>
      </c>
    </row>
    <row r="32" spans="1:18" ht="31.5" customHeight="1" x14ac:dyDescent="0.85">
      <c r="A32" s="12" t="s">
        <v>146</v>
      </c>
      <c r="B32" s="8">
        <f>'[1]Term 2 Summary Sheet'!$B$32</f>
        <v>0</v>
      </c>
      <c r="C32" s="15"/>
      <c r="D32" s="15"/>
      <c r="E32" s="15"/>
      <c r="F32" s="16"/>
      <c r="G32" s="16"/>
      <c r="H32" s="16"/>
      <c r="I32" s="16"/>
      <c r="J32" s="16"/>
      <c r="K32" s="16"/>
      <c r="L32" s="16"/>
      <c r="M32" s="9">
        <f t="shared" si="0"/>
        <v>0</v>
      </c>
      <c r="N32" s="10">
        <f t="shared" si="1"/>
        <v>0</v>
      </c>
      <c r="O32" s="17"/>
      <c r="P32" s="10">
        <f t="shared" si="2"/>
        <v>0</v>
      </c>
      <c r="Q32" s="11">
        <f t="shared" si="3"/>
        <v>0</v>
      </c>
      <c r="R32" s="18">
        <f t="shared" si="4"/>
        <v>1</v>
      </c>
    </row>
    <row r="33" spans="1:18" ht="31.5" customHeight="1" x14ac:dyDescent="0.85">
      <c r="A33" s="12" t="s">
        <v>147</v>
      </c>
      <c r="B33" s="8">
        <f>'[1]Term 2 Summary Sheet'!$B$33</f>
        <v>0</v>
      </c>
      <c r="C33" s="15"/>
      <c r="D33" s="15"/>
      <c r="E33" s="15"/>
      <c r="F33" s="16"/>
      <c r="G33" s="16"/>
      <c r="H33" s="16"/>
      <c r="I33" s="16"/>
      <c r="J33" s="16"/>
      <c r="K33" s="16"/>
      <c r="L33" s="16"/>
      <c r="M33" s="9">
        <f t="shared" si="0"/>
        <v>0</v>
      </c>
      <c r="N33" s="10">
        <f t="shared" si="1"/>
        <v>0</v>
      </c>
      <c r="O33" s="17"/>
      <c r="P33" s="10">
        <f t="shared" si="2"/>
        <v>0</v>
      </c>
      <c r="Q33" s="11">
        <f t="shared" si="3"/>
        <v>0</v>
      </c>
      <c r="R33" s="18">
        <f t="shared" si="4"/>
        <v>1</v>
      </c>
    </row>
    <row r="34" spans="1:18" ht="31.5" customHeight="1" x14ac:dyDescent="0.85">
      <c r="A34" s="12" t="s">
        <v>148</v>
      </c>
      <c r="B34" s="8">
        <f>'[1]Term 2 Summary Sheet'!$B$34</f>
        <v>0</v>
      </c>
      <c r="C34" s="15"/>
      <c r="D34" s="15"/>
      <c r="E34" s="15"/>
      <c r="F34" s="16"/>
      <c r="G34" s="16"/>
      <c r="H34" s="16"/>
      <c r="I34" s="16"/>
      <c r="J34" s="16"/>
      <c r="K34" s="16"/>
      <c r="L34" s="16"/>
      <c r="M34" s="9">
        <f t="shared" si="0"/>
        <v>0</v>
      </c>
      <c r="N34" s="10">
        <f t="shared" si="1"/>
        <v>0</v>
      </c>
      <c r="O34" s="17"/>
      <c r="P34" s="10">
        <f t="shared" si="2"/>
        <v>0</v>
      </c>
      <c r="Q34" s="11">
        <f t="shared" si="3"/>
        <v>0</v>
      </c>
      <c r="R34" s="18">
        <f t="shared" si="4"/>
        <v>1</v>
      </c>
    </row>
    <row r="35" spans="1:18" ht="31.5" customHeight="1" x14ac:dyDescent="0.85">
      <c r="A35" s="12" t="s">
        <v>149</v>
      </c>
      <c r="B35" s="8">
        <f>'[1]Term 2 Summary Sheet'!$B$35</f>
        <v>0</v>
      </c>
      <c r="C35" s="15"/>
      <c r="D35" s="15"/>
      <c r="E35" s="15"/>
      <c r="F35" s="16"/>
      <c r="G35" s="16"/>
      <c r="H35" s="16"/>
      <c r="I35" s="16"/>
      <c r="J35" s="16"/>
      <c r="K35" s="16"/>
      <c r="L35" s="16"/>
      <c r="M35" s="9">
        <f t="shared" si="0"/>
        <v>0</v>
      </c>
      <c r="N35" s="10">
        <f t="shared" si="1"/>
        <v>0</v>
      </c>
      <c r="O35" s="17"/>
      <c r="P35" s="10">
        <f t="shared" si="2"/>
        <v>0</v>
      </c>
      <c r="Q35" s="11">
        <f t="shared" si="3"/>
        <v>0</v>
      </c>
      <c r="R35" s="18">
        <f t="shared" si="4"/>
        <v>1</v>
      </c>
    </row>
    <row r="36" spans="1:18" ht="31.5" customHeight="1" x14ac:dyDescent="0.85">
      <c r="A36" s="12" t="s">
        <v>150</v>
      </c>
      <c r="B36" s="8">
        <f>'[1]Term 2 Summary Sheet'!$B$36</f>
        <v>0</v>
      </c>
      <c r="C36" s="15"/>
      <c r="D36" s="15"/>
      <c r="E36" s="15"/>
      <c r="F36" s="16"/>
      <c r="G36" s="16"/>
      <c r="H36" s="16"/>
      <c r="I36" s="16"/>
      <c r="J36" s="16"/>
      <c r="K36" s="16"/>
      <c r="L36" s="16"/>
      <c r="M36" s="9">
        <f t="shared" ref="M36:M67" si="5">SUM(C36:L36)</f>
        <v>0</v>
      </c>
      <c r="N36" s="10">
        <f t="shared" ref="N36:N67" si="6">M36/100 *50</f>
        <v>0</v>
      </c>
      <c r="O36" s="17"/>
      <c r="P36" s="10">
        <f t="shared" si="2"/>
        <v>0</v>
      </c>
      <c r="Q36" s="11">
        <f t="shared" si="3"/>
        <v>0</v>
      </c>
      <c r="R36" s="18">
        <f t="shared" si="4"/>
        <v>1</v>
      </c>
    </row>
    <row r="37" spans="1:18" ht="31.5" customHeight="1" x14ac:dyDescent="0.85">
      <c r="A37" s="12" t="s">
        <v>151</v>
      </c>
      <c r="B37" s="8">
        <f>'[1]Term 2 Summary Sheet'!$B$37</f>
        <v>0</v>
      </c>
      <c r="C37" s="15"/>
      <c r="D37" s="15"/>
      <c r="E37" s="15"/>
      <c r="F37" s="16"/>
      <c r="G37" s="16"/>
      <c r="H37" s="16"/>
      <c r="I37" s="16"/>
      <c r="J37" s="16"/>
      <c r="K37" s="16"/>
      <c r="L37" s="16"/>
      <c r="M37" s="9">
        <f t="shared" si="5"/>
        <v>0</v>
      </c>
      <c r="N37" s="10">
        <f t="shared" si="6"/>
        <v>0</v>
      </c>
      <c r="O37" s="17"/>
      <c r="P37" s="10">
        <f t="shared" si="2"/>
        <v>0</v>
      </c>
      <c r="Q37" s="11">
        <f t="shared" si="3"/>
        <v>0</v>
      </c>
      <c r="R37" s="18">
        <f t="shared" si="4"/>
        <v>1</v>
      </c>
    </row>
    <row r="38" spans="1:18" ht="31.5" customHeight="1" x14ac:dyDescent="0.85">
      <c r="A38" s="12" t="s">
        <v>152</v>
      </c>
      <c r="B38" s="8">
        <f>'[1]Term 2 Summary Sheet'!$B$38</f>
        <v>0</v>
      </c>
      <c r="C38" s="15"/>
      <c r="D38" s="15"/>
      <c r="E38" s="15"/>
      <c r="F38" s="16"/>
      <c r="G38" s="16"/>
      <c r="H38" s="16"/>
      <c r="I38" s="16"/>
      <c r="J38" s="16"/>
      <c r="K38" s="16"/>
      <c r="L38" s="16"/>
      <c r="M38" s="9">
        <f t="shared" si="5"/>
        <v>0</v>
      </c>
      <c r="N38" s="10">
        <f t="shared" si="6"/>
        <v>0</v>
      </c>
      <c r="O38" s="17"/>
      <c r="P38" s="10">
        <f t="shared" si="2"/>
        <v>0</v>
      </c>
      <c r="Q38" s="11">
        <f t="shared" si="3"/>
        <v>0</v>
      </c>
      <c r="R38" s="18">
        <f t="shared" si="4"/>
        <v>1</v>
      </c>
    </row>
    <row r="39" spans="1:18" ht="31.5" customHeight="1" x14ac:dyDescent="0.85">
      <c r="A39" s="12" t="s">
        <v>153</v>
      </c>
      <c r="B39" s="8">
        <f>'[1]Term 2 Summary Sheet'!$B$39</f>
        <v>0</v>
      </c>
      <c r="C39" s="15"/>
      <c r="D39" s="15"/>
      <c r="E39" s="15"/>
      <c r="F39" s="16"/>
      <c r="G39" s="16"/>
      <c r="H39" s="16"/>
      <c r="I39" s="16"/>
      <c r="J39" s="16"/>
      <c r="K39" s="16"/>
      <c r="L39" s="16"/>
      <c r="M39" s="9">
        <f t="shared" si="5"/>
        <v>0</v>
      </c>
      <c r="N39" s="10">
        <f t="shared" si="6"/>
        <v>0</v>
      </c>
      <c r="O39" s="17"/>
      <c r="P39" s="10">
        <f t="shared" si="2"/>
        <v>0</v>
      </c>
      <c r="Q39" s="11">
        <f t="shared" si="3"/>
        <v>0</v>
      </c>
      <c r="R39" s="18">
        <f t="shared" si="4"/>
        <v>1</v>
      </c>
    </row>
    <row r="40" spans="1:18" ht="31.5" customHeight="1" x14ac:dyDescent="0.85">
      <c r="A40" s="12" t="s">
        <v>154</v>
      </c>
      <c r="B40" s="8">
        <f>'[1]Term 2 Summary Sheet'!$B$40</f>
        <v>0</v>
      </c>
      <c r="C40" s="15"/>
      <c r="D40" s="15"/>
      <c r="E40" s="15"/>
      <c r="F40" s="16"/>
      <c r="G40" s="16"/>
      <c r="H40" s="16"/>
      <c r="I40" s="16"/>
      <c r="J40" s="16"/>
      <c r="K40" s="16"/>
      <c r="L40" s="16"/>
      <c r="M40" s="9">
        <f t="shared" si="5"/>
        <v>0</v>
      </c>
      <c r="N40" s="10">
        <f t="shared" si="6"/>
        <v>0</v>
      </c>
      <c r="O40" s="17"/>
      <c r="P40" s="10">
        <f t="shared" si="2"/>
        <v>0</v>
      </c>
      <c r="Q40" s="11">
        <f t="shared" si="3"/>
        <v>0</v>
      </c>
      <c r="R40" s="18">
        <f t="shared" si="4"/>
        <v>1</v>
      </c>
    </row>
    <row r="41" spans="1:18" ht="31.5" customHeight="1" x14ac:dyDescent="0.85">
      <c r="A41" s="12" t="s">
        <v>155</v>
      </c>
      <c r="B41" s="8">
        <f>'[1]Term 2 Summary Sheet'!$B$41</f>
        <v>0</v>
      </c>
      <c r="C41" s="15"/>
      <c r="D41" s="15"/>
      <c r="E41" s="15"/>
      <c r="F41" s="16"/>
      <c r="G41" s="16"/>
      <c r="H41" s="16"/>
      <c r="I41" s="16"/>
      <c r="J41" s="16"/>
      <c r="K41" s="16"/>
      <c r="L41" s="16"/>
      <c r="M41" s="9">
        <f t="shared" si="5"/>
        <v>0</v>
      </c>
      <c r="N41" s="10">
        <f t="shared" si="6"/>
        <v>0</v>
      </c>
      <c r="O41" s="17"/>
      <c r="P41" s="10">
        <f t="shared" si="2"/>
        <v>0</v>
      </c>
      <c r="Q41" s="11">
        <f t="shared" si="3"/>
        <v>0</v>
      </c>
      <c r="R41" s="18">
        <f t="shared" si="4"/>
        <v>1</v>
      </c>
    </row>
    <row r="42" spans="1:18" ht="31.5" customHeight="1" x14ac:dyDescent="0.85">
      <c r="A42" s="12" t="s">
        <v>156</v>
      </c>
      <c r="B42" s="8">
        <f>'[1]Term 2 Summary Sheet'!$B$42</f>
        <v>0</v>
      </c>
      <c r="C42" s="15"/>
      <c r="D42" s="15"/>
      <c r="E42" s="15"/>
      <c r="F42" s="16"/>
      <c r="G42" s="16"/>
      <c r="H42" s="16"/>
      <c r="I42" s="16"/>
      <c r="J42" s="16"/>
      <c r="K42" s="16"/>
      <c r="L42" s="16"/>
      <c r="M42" s="9">
        <f t="shared" si="5"/>
        <v>0</v>
      </c>
      <c r="N42" s="10">
        <f t="shared" si="6"/>
        <v>0</v>
      </c>
      <c r="O42" s="17"/>
      <c r="P42" s="10">
        <f t="shared" si="2"/>
        <v>0</v>
      </c>
      <c r="Q42" s="11">
        <f t="shared" si="3"/>
        <v>0</v>
      </c>
      <c r="R42" s="18">
        <f t="shared" si="4"/>
        <v>1</v>
      </c>
    </row>
    <row r="43" spans="1:18" ht="31.5" customHeight="1" x14ac:dyDescent="0.85">
      <c r="A43" s="12" t="s">
        <v>157</v>
      </c>
      <c r="B43" s="8">
        <f>'[1]Term 2 Summary Sheet'!$B$43</f>
        <v>0</v>
      </c>
      <c r="C43" s="15"/>
      <c r="D43" s="15"/>
      <c r="E43" s="15"/>
      <c r="F43" s="16"/>
      <c r="G43" s="16"/>
      <c r="H43" s="16"/>
      <c r="I43" s="16"/>
      <c r="J43" s="16"/>
      <c r="K43" s="16"/>
      <c r="L43" s="16"/>
      <c r="M43" s="9">
        <f t="shared" si="5"/>
        <v>0</v>
      </c>
      <c r="N43" s="10">
        <f t="shared" si="6"/>
        <v>0</v>
      </c>
      <c r="O43" s="17"/>
      <c r="P43" s="10">
        <f t="shared" si="2"/>
        <v>0</v>
      </c>
      <c r="Q43" s="11">
        <f t="shared" si="3"/>
        <v>0</v>
      </c>
      <c r="R43" s="18">
        <f t="shared" si="4"/>
        <v>1</v>
      </c>
    </row>
    <row r="44" spans="1:18" ht="31.5" customHeight="1" x14ac:dyDescent="0.85">
      <c r="A44" s="12" t="s">
        <v>158</v>
      </c>
      <c r="B44" s="8">
        <f>'[1]Term 2 Summary Sheet'!$B$44</f>
        <v>0</v>
      </c>
      <c r="C44" s="15"/>
      <c r="D44" s="15"/>
      <c r="E44" s="15"/>
      <c r="F44" s="16"/>
      <c r="G44" s="16"/>
      <c r="H44" s="16"/>
      <c r="I44" s="16"/>
      <c r="J44" s="16"/>
      <c r="K44" s="16"/>
      <c r="L44" s="16"/>
      <c r="M44" s="9">
        <f t="shared" si="5"/>
        <v>0</v>
      </c>
      <c r="N44" s="10">
        <f t="shared" si="6"/>
        <v>0</v>
      </c>
      <c r="O44" s="17"/>
      <c r="P44" s="10">
        <f t="shared" si="2"/>
        <v>0</v>
      </c>
      <c r="Q44" s="11">
        <f t="shared" si="3"/>
        <v>0</v>
      </c>
      <c r="R44" s="18">
        <f t="shared" si="4"/>
        <v>1</v>
      </c>
    </row>
    <row r="45" spans="1:18" ht="31.5" customHeight="1" x14ac:dyDescent="0.85">
      <c r="A45" s="12" t="s">
        <v>159</v>
      </c>
      <c r="B45" s="8">
        <f>'[1]Term 2 Summary Sheet'!$B$45</f>
        <v>0</v>
      </c>
      <c r="C45" s="15"/>
      <c r="D45" s="15"/>
      <c r="E45" s="15"/>
      <c r="F45" s="16"/>
      <c r="G45" s="16"/>
      <c r="H45" s="16"/>
      <c r="I45" s="16"/>
      <c r="J45" s="16"/>
      <c r="K45" s="16"/>
      <c r="L45" s="16"/>
      <c r="M45" s="9">
        <f t="shared" si="5"/>
        <v>0</v>
      </c>
      <c r="N45" s="10">
        <f t="shared" si="6"/>
        <v>0</v>
      </c>
      <c r="O45" s="17"/>
      <c r="P45" s="10">
        <f t="shared" si="2"/>
        <v>0</v>
      </c>
      <c r="Q45" s="11">
        <f t="shared" si="3"/>
        <v>0</v>
      </c>
      <c r="R45" s="18">
        <f t="shared" si="4"/>
        <v>1</v>
      </c>
    </row>
    <row r="46" spans="1:18" ht="31.5" customHeight="1" x14ac:dyDescent="0.85">
      <c r="A46" s="12" t="s">
        <v>160</v>
      </c>
      <c r="B46" s="8">
        <f>'[1]Term 2 Summary Sheet'!$B$46</f>
        <v>0</v>
      </c>
      <c r="C46" s="15"/>
      <c r="D46" s="15"/>
      <c r="E46" s="15"/>
      <c r="F46" s="16"/>
      <c r="G46" s="16"/>
      <c r="H46" s="16"/>
      <c r="I46" s="16"/>
      <c r="J46" s="16"/>
      <c r="K46" s="16"/>
      <c r="L46" s="16"/>
      <c r="M46" s="9">
        <f t="shared" si="5"/>
        <v>0</v>
      </c>
      <c r="N46" s="10">
        <f t="shared" si="6"/>
        <v>0</v>
      </c>
      <c r="O46" s="17"/>
      <c r="P46" s="10">
        <f t="shared" si="2"/>
        <v>0</v>
      </c>
      <c r="Q46" s="11">
        <f t="shared" si="3"/>
        <v>0</v>
      </c>
      <c r="R46" s="18">
        <f t="shared" si="4"/>
        <v>1</v>
      </c>
    </row>
    <row r="47" spans="1:18" ht="31.5" customHeight="1" x14ac:dyDescent="0.85">
      <c r="A47" s="12" t="s">
        <v>161</v>
      </c>
      <c r="B47" s="8">
        <f>'[1]Term 2 Summary Sheet'!$B$47</f>
        <v>0</v>
      </c>
      <c r="C47" s="15"/>
      <c r="D47" s="15"/>
      <c r="E47" s="15"/>
      <c r="F47" s="16"/>
      <c r="G47" s="16"/>
      <c r="H47" s="16"/>
      <c r="I47" s="16"/>
      <c r="J47" s="16"/>
      <c r="K47" s="16"/>
      <c r="L47" s="16"/>
      <c r="M47" s="9">
        <f t="shared" si="5"/>
        <v>0</v>
      </c>
      <c r="N47" s="10">
        <f t="shared" si="6"/>
        <v>0</v>
      </c>
      <c r="O47" s="17"/>
      <c r="P47" s="10">
        <f t="shared" si="2"/>
        <v>0</v>
      </c>
      <c r="Q47" s="11">
        <f t="shared" si="3"/>
        <v>0</v>
      </c>
      <c r="R47" s="18">
        <f t="shared" si="4"/>
        <v>1</v>
      </c>
    </row>
    <row r="48" spans="1:18" ht="31.5" customHeight="1" x14ac:dyDescent="0.85">
      <c r="A48" s="12" t="s">
        <v>162</v>
      </c>
      <c r="B48" s="8">
        <f>'[1]Term 2 Summary Sheet'!$B$48</f>
        <v>0</v>
      </c>
      <c r="C48" s="15"/>
      <c r="D48" s="15"/>
      <c r="E48" s="15"/>
      <c r="F48" s="16"/>
      <c r="G48" s="16"/>
      <c r="H48" s="16"/>
      <c r="I48" s="16"/>
      <c r="J48" s="16"/>
      <c r="K48" s="16"/>
      <c r="L48" s="16"/>
      <c r="M48" s="9">
        <f t="shared" si="5"/>
        <v>0</v>
      </c>
      <c r="N48" s="10">
        <f t="shared" si="6"/>
        <v>0</v>
      </c>
      <c r="O48" s="17"/>
      <c r="P48" s="10">
        <f t="shared" si="2"/>
        <v>0</v>
      </c>
      <c r="Q48" s="11">
        <f t="shared" si="3"/>
        <v>0</v>
      </c>
      <c r="R48" s="18">
        <f t="shared" si="4"/>
        <v>1</v>
      </c>
    </row>
    <row r="49" spans="1:18" ht="31.5" customHeight="1" x14ac:dyDescent="0.85">
      <c r="A49" s="12" t="s">
        <v>163</v>
      </c>
      <c r="B49" s="8">
        <f>'[1]Term 2 Summary Sheet'!$B$49</f>
        <v>0</v>
      </c>
      <c r="C49" s="15"/>
      <c r="D49" s="15"/>
      <c r="E49" s="15"/>
      <c r="F49" s="16"/>
      <c r="G49" s="16"/>
      <c r="H49" s="16"/>
      <c r="I49" s="16"/>
      <c r="J49" s="16"/>
      <c r="K49" s="16"/>
      <c r="L49" s="16"/>
      <c r="M49" s="9">
        <f t="shared" si="5"/>
        <v>0</v>
      </c>
      <c r="N49" s="10">
        <f t="shared" si="6"/>
        <v>0</v>
      </c>
      <c r="O49" s="17"/>
      <c r="P49" s="10">
        <f t="shared" si="2"/>
        <v>0</v>
      </c>
      <c r="Q49" s="11">
        <f t="shared" si="3"/>
        <v>0</v>
      </c>
      <c r="R49" s="18">
        <f t="shared" si="4"/>
        <v>1</v>
      </c>
    </row>
    <row r="50" spans="1:18" ht="31.5" customHeight="1" x14ac:dyDescent="0.85">
      <c r="A50" s="12" t="s">
        <v>164</v>
      </c>
      <c r="B50" s="8">
        <f>'[1]Term 2 Summary Sheet'!$B$50</f>
        <v>0</v>
      </c>
      <c r="C50" s="15"/>
      <c r="D50" s="15"/>
      <c r="E50" s="15"/>
      <c r="F50" s="16"/>
      <c r="G50" s="16"/>
      <c r="H50" s="16"/>
      <c r="I50" s="16"/>
      <c r="J50" s="16"/>
      <c r="K50" s="16"/>
      <c r="L50" s="16"/>
      <c r="M50" s="9">
        <f t="shared" si="5"/>
        <v>0</v>
      </c>
      <c r="N50" s="10">
        <f t="shared" si="6"/>
        <v>0</v>
      </c>
      <c r="O50" s="17"/>
      <c r="P50" s="10">
        <f t="shared" si="2"/>
        <v>0</v>
      </c>
      <c r="Q50" s="11">
        <f t="shared" si="3"/>
        <v>0</v>
      </c>
      <c r="R50" s="18">
        <f t="shared" si="4"/>
        <v>1</v>
      </c>
    </row>
    <row r="51" spans="1:18" ht="31.5" customHeight="1" x14ac:dyDescent="0.85">
      <c r="A51" s="12" t="s">
        <v>165</v>
      </c>
      <c r="B51" s="8">
        <f>'[1]Term 2 Summary Sheet'!$B$51</f>
        <v>0</v>
      </c>
      <c r="C51" s="15"/>
      <c r="D51" s="15"/>
      <c r="E51" s="15"/>
      <c r="F51" s="16"/>
      <c r="G51" s="16"/>
      <c r="H51" s="16"/>
      <c r="I51" s="16"/>
      <c r="J51" s="16"/>
      <c r="K51" s="16"/>
      <c r="L51" s="16"/>
      <c r="M51" s="9">
        <f t="shared" si="5"/>
        <v>0</v>
      </c>
      <c r="N51" s="10">
        <f t="shared" si="6"/>
        <v>0</v>
      </c>
      <c r="O51" s="17"/>
      <c r="P51" s="10">
        <f t="shared" si="2"/>
        <v>0</v>
      </c>
      <c r="Q51" s="11">
        <f t="shared" si="3"/>
        <v>0</v>
      </c>
      <c r="R51" s="18">
        <f t="shared" si="4"/>
        <v>1</v>
      </c>
    </row>
    <row r="52" spans="1:18" ht="31.5" customHeight="1" x14ac:dyDescent="0.85">
      <c r="A52" s="12" t="s">
        <v>166</v>
      </c>
      <c r="B52" s="8">
        <f>'[1]Term 2 Summary Sheet'!$B$52</f>
        <v>0</v>
      </c>
      <c r="C52" s="15"/>
      <c r="D52" s="15"/>
      <c r="E52" s="15"/>
      <c r="F52" s="16"/>
      <c r="G52" s="16"/>
      <c r="H52" s="16"/>
      <c r="I52" s="16"/>
      <c r="J52" s="16"/>
      <c r="K52" s="16"/>
      <c r="L52" s="16"/>
      <c r="M52" s="9">
        <f t="shared" si="5"/>
        <v>0</v>
      </c>
      <c r="N52" s="10">
        <f t="shared" si="6"/>
        <v>0</v>
      </c>
      <c r="O52" s="17"/>
      <c r="P52" s="10">
        <f t="shared" si="2"/>
        <v>0</v>
      </c>
      <c r="Q52" s="11">
        <f t="shared" si="3"/>
        <v>0</v>
      </c>
      <c r="R52" s="18">
        <f t="shared" si="4"/>
        <v>1</v>
      </c>
    </row>
    <row r="53" spans="1:18" ht="31.5" customHeight="1" x14ac:dyDescent="0.85">
      <c r="A53" s="12" t="s">
        <v>167</v>
      </c>
      <c r="B53" s="8">
        <f>'[1]Term 2 Summary Sheet'!$B$53</f>
        <v>0</v>
      </c>
      <c r="C53" s="15"/>
      <c r="D53" s="15"/>
      <c r="E53" s="15"/>
      <c r="F53" s="16"/>
      <c r="G53" s="16"/>
      <c r="H53" s="16"/>
      <c r="I53" s="16"/>
      <c r="J53" s="16"/>
      <c r="K53" s="16"/>
      <c r="L53" s="16"/>
      <c r="M53" s="9">
        <f t="shared" si="5"/>
        <v>0</v>
      </c>
      <c r="N53" s="10">
        <f t="shared" si="6"/>
        <v>0</v>
      </c>
      <c r="O53" s="17"/>
      <c r="P53" s="10">
        <f t="shared" si="2"/>
        <v>0</v>
      </c>
      <c r="Q53" s="11">
        <f t="shared" si="3"/>
        <v>0</v>
      </c>
      <c r="R53" s="18">
        <f t="shared" si="4"/>
        <v>1</v>
      </c>
    </row>
    <row r="54" spans="1:18" ht="31.5" customHeight="1" x14ac:dyDescent="0.85">
      <c r="A54" s="12" t="s">
        <v>168</v>
      </c>
      <c r="B54" s="8">
        <f>'[1]Term 2 Summary Sheet'!$B$54</f>
        <v>0</v>
      </c>
      <c r="C54" s="15"/>
      <c r="D54" s="15"/>
      <c r="E54" s="15"/>
      <c r="F54" s="16"/>
      <c r="G54" s="16"/>
      <c r="H54" s="16"/>
      <c r="I54" s="16"/>
      <c r="J54" s="16"/>
      <c r="K54" s="16"/>
      <c r="L54" s="16"/>
      <c r="M54" s="9">
        <f t="shared" si="5"/>
        <v>0</v>
      </c>
      <c r="N54" s="10">
        <f t="shared" si="6"/>
        <v>0</v>
      </c>
      <c r="O54" s="17"/>
      <c r="P54" s="10">
        <f t="shared" si="2"/>
        <v>0</v>
      </c>
      <c r="Q54" s="11">
        <f t="shared" si="3"/>
        <v>0</v>
      </c>
      <c r="R54" s="18">
        <f t="shared" si="4"/>
        <v>1</v>
      </c>
    </row>
    <row r="55" spans="1:18" ht="31.5" customHeight="1" x14ac:dyDescent="0.85">
      <c r="A55" s="12" t="s">
        <v>169</v>
      </c>
      <c r="B55" s="8">
        <f>'[1]Term 2 Summary Sheet'!$B$55</f>
        <v>0</v>
      </c>
      <c r="C55" s="15"/>
      <c r="D55" s="15"/>
      <c r="E55" s="15"/>
      <c r="F55" s="16"/>
      <c r="G55" s="16"/>
      <c r="H55" s="16"/>
      <c r="I55" s="16"/>
      <c r="J55" s="16"/>
      <c r="K55" s="16"/>
      <c r="L55" s="16"/>
      <c r="M55" s="9">
        <f t="shared" si="5"/>
        <v>0</v>
      </c>
      <c r="N55" s="10">
        <f t="shared" si="6"/>
        <v>0</v>
      </c>
      <c r="O55" s="17"/>
      <c r="P55" s="10">
        <f t="shared" si="2"/>
        <v>0</v>
      </c>
      <c r="Q55" s="11">
        <f t="shared" si="3"/>
        <v>0</v>
      </c>
      <c r="R55" s="18">
        <f t="shared" si="4"/>
        <v>1</v>
      </c>
    </row>
    <row r="56" spans="1:18" ht="31.5" customHeight="1" x14ac:dyDescent="0.85">
      <c r="A56" s="12" t="s">
        <v>170</v>
      </c>
      <c r="B56" s="8">
        <f>'[1]Term 2 Summary Sheet'!$B$56</f>
        <v>0</v>
      </c>
      <c r="C56" s="15"/>
      <c r="D56" s="15"/>
      <c r="E56" s="15"/>
      <c r="F56" s="16"/>
      <c r="G56" s="16"/>
      <c r="H56" s="16"/>
      <c r="I56" s="16"/>
      <c r="J56" s="16"/>
      <c r="K56" s="16"/>
      <c r="L56" s="16"/>
      <c r="M56" s="9">
        <f t="shared" si="5"/>
        <v>0</v>
      </c>
      <c r="N56" s="10">
        <f t="shared" si="6"/>
        <v>0</v>
      </c>
      <c r="O56" s="17"/>
      <c r="P56" s="10">
        <f t="shared" si="2"/>
        <v>0</v>
      </c>
      <c r="Q56" s="11">
        <f t="shared" si="3"/>
        <v>0</v>
      </c>
      <c r="R56" s="18">
        <f t="shared" si="4"/>
        <v>1</v>
      </c>
    </row>
    <row r="57" spans="1:18" ht="31.5" customHeight="1" x14ac:dyDescent="0.85">
      <c r="A57" s="12" t="s">
        <v>171</v>
      </c>
      <c r="B57" s="8">
        <f>'[1]Term 2 Summary Sheet'!$B$57</f>
        <v>0</v>
      </c>
      <c r="C57" s="15"/>
      <c r="D57" s="15"/>
      <c r="E57" s="15"/>
      <c r="F57" s="16"/>
      <c r="G57" s="16"/>
      <c r="H57" s="16"/>
      <c r="I57" s="16"/>
      <c r="J57" s="16"/>
      <c r="K57" s="16"/>
      <c r="L57" s="16"/>
      <c r="M57" s="9">
        <f t="shared" si="5"/>
        <v>0</v>
      </c>
      <c r="N57" s="10">
        <f t="shared" si="6"/>
        <v>0</v>
      </c>
      <c r="O57" s="17"/>
      <c r="P57" s="10">
        <f t="shared" si="2"/>
        <v>0</v>
      </c>
      <c r="Q57" s="11">
        <f t="shared" si="3"/>
        <v>0</v>
      </c>
      <c r="R57" s="18">
        <f t="shared" si="4"/>
        <v>1</v>
      </c>
    </row>
    <row r="58" spans="1:18" ht="31.5" customHeight="1" x14ac:dyDescent="0.85">
      <c r="A58" s="12" t="s">
        <v>172</v>
      </c>
      <c r="B58" s="8">
        <f>'[1]Term 2 Summary Sheet'!$B$58</f>
        <v>0</v>
      </c>
      <c r="C58" s="15"/>
      <c r="D58" s="15"/>
      <c r="E58" s="15"/>
      <c r="F58" s="16"/>
      <c r="G58" s="16"/>
      <c r="H58" s="16"/>
      <c r="I58" s="16"/>
      <c r="J58" s="16"/>
      <c r="K58" s="16"/>
      <c r="L58" s="16"/>
      <c r="M58" s="9">
        <f t="shared" si="5"/>
        <v>0</v>
      </c>
      <c r="N58" s="10">
        <f t="shared" si="6"/>
        <v>0</v>
      </c>
      <c r="O58" s="17"/>
      <c r="P58" s="10">
        <f t="shared" si="2"/>
        <v>0</v>
      </c>
      <c r="Q58" s="11">
        <f t="shared" si="3"/>
        <v>0</v>
      </c>
      <c r="R58" s="18">
        <f t="shared" si="4"/>
        <v>1</v>
      </c>
    </row>
    <row r="59" spans="1:18" ht="31.5" customHeight="1" x14ac:dyDescent="0.85">
      <c r="A59" s="12" t="s">
        <v>173</v>
      </c>
      <c r="B59" s="8">
        <f>'[1]Term 2 Summary Sheet'!$B$59</f>
        <v>0</v>
      </c>
      <c r="C59" s="15"/>
      <c r="D59" s="15"/>
      <c r="E59" s="15"/>
      <c r="F59" s="16"/>
      <c r="G59" s="16"/>
      <c r="H59" s="16"/>
      <c r="I59" s="16"/>
      <c r="J59" s="16"/>
      <c r="K59" s="16"/>
      <c r="L59" s="16"/>
      <c r="M59" s="9">
        <f t="shared" si="5"/>
        <v>0</v>
      </c>
      <c r="N59" s="10">
        <f t="shared" si="6"/>
        <v>0</v>
      </c>
      <c r="O59" s="17"/>
      <c r="P59" s="10">
        <f t="shared" si="2"/>
        <v>0</v>
      </c>
      <c r="Q59" s="11">
        <f t="shared" si="3"/>
        <v>0</v>
      </c>
      <c r="R59" s="18">
        <f t="shared" si="4"/>
        <v>1</v>
      </c>
    </row>
    <row r="60" spans="1:18" ht="31.5" customHeight="1" x14ac:dyDescent="0.85">
      <c r="A60" s="12" t="s">
        <v>174</v>
      </c>
      <c r="B60" s="8">
        <f>'[1]Term 2 Summary Sheet'!$B$60</f>
        <v>0</v>
      </c>
      <c r="C60" s="15"/>
      <c r="D60" s="15"/>
      <c r="E60" s="15"/>
      <c r="F60" s="16"/>
      <c r="G60" s="16"/>
      <c r="H60" s="16"/>
      <c r="I60" s="16"/>
      <c r="J60" s="16"/>
      <c r="K60" s="16"/>
      <c r="L60" s="16"/>
      <c r="M60" s="9">
        <f t="shared" si="5"/>
        <v>0</v>
      </c>
      <c r="N60" s="10">
        <f t="shared" si="6"/>
        <v>0</v>
      </c>
      <c r="O60" s="17"/>
      <c r="P60" s="10">
        <f t="shared" si="2"/>
        <v>0</v>
      </c>
      <c r="Q60" s="11">
        <f t="shared" si="3"/>
        <v>0</v>
      </c>
      <c r="R60" s="18">
        <f t="shared" si="4"/>
        <v>1</v>
      </c>
    </row>
    <row r="61" spans="1:18" ht="31.5" customHeight="1" x14ac:dyDescent="0.85">
      <c r="A61" s="12" t="s">
        <v>175</v>
      </c>
      <c r="B61" s="8">
        <f>'[1]Term 2 Summary Sheet'!$B$61</f>
        <v>0</v>
      </c>
      <c r="C61" s="15"/>
      <c r="D61" s="15"/>
      <c r="E61" s="15"/>
      <c r="F61" s="16"/>
      <c r="G61" s="16"/>
      <c r="H61" s="16"/>
      <c r="I61" s="16"/>
      <c r="J61" s="16"/>
      <c r="K61" s="16"/>
      <c r="L61" s="16"/>
      <c r="M61" s="9">
        <f t="shared" si="5"/>
        <v>0</v>
      </c>
      <c r="N61" s="10">
        <f t="shared" si="6"/>
        <v>0</v>
      </c>
      <c r="O61" s="17"/>
      <c r="P61" s="10">
        <f t="shared" si="2"/>
        <v>0</v>
      </c>
      <c r="Q61" s="11">
        <f t="shared" si="3"/>
        <v>0</v>
      </c>
      <c r="R61" s="18">
        <f t="shared" si="4"/>
        <v>1</v>
      </c>
    </row>
    <row r="62" spans="1:18" ht="31.5" customHeight="1" x14ac:dyDescent="0.85">
      <c r="A62" s="12" t="s">
        <v>176</v>
      </c>
      <c r="B62" s="8">
        <f>'[1]Term 2 Summary Sheet'!$B$62</f>
        <v>0</v>
      </c>
      <c r="C62" s="15"/>
      <c r="D62" s="15"/>
      <c r="E62" s="15"/>
      <c r="F62" s="16"/>
      <c r="G62" s="16"/>
      <c r="H62" s="16"/>
      <c r="I62" s="16"/>
      <c r="J62" s="16"/>
      <c r="K62" s="16"/>
      <c r="L62" s="16"/>
      <c r="M62" s="9">
        <f t="shared" si="5"/>
        <v>0</v>
      </c>
      <c r="N62" s="10">
        <f t="shared" si="6"/>
        <v>0</v>
      </c>
      <c r="O62" s="17"/>
      <c r="P62" s="10">
        <f t="shared" si="2"/>
        <v>0</v>
      </c>
      <c r="Q62" s="11">
        <f t="shared" si="3"/>
        <v>0</v>
      </c>
      <c r="R62" s="18">
        <f t="shared" si="4"/>
        <v>1</v>
      </c>
    </row>
    <row r="63" spans="1:18" ht="31.5" customHeight="1" x14ac:dyDescent="0.85">
      <c r="A63" s="12" t="s">
        <v>177</v>
      </c>
      <c r="B63" s="8">
        <f>'[1]Term 2 Summary Sheet'!$B$63</f>
        <v>0</v>
      </c>
      <c r="C63" s="15"/>
      <c r="D63" s="15"/>
      <c r="E63" s="15"/>
      <c r="F63" s="16"/>
      <c r="G63" s="16"/>
      <c r="H63" s="16"/>
      <c r="I63" s="16"/>
      <c r="J63" s="16"/>
      <c r="K63" s="16"/>
      <c r="L63" s="16"/>
      <c r="M63" s="9">
        <f t="shared" si="5"/>
        <v>0</v>
      </c>
      <c r="N63" s="10">
        <f t="shared" si="6"/>
        <v>0</v>
      </c>
      <c r="O63" s="17"/>
      <c r="P63" s="10">
        <f t="shared" si="2"/>
        <v>0</v>
      </c>
      <c r="Q63" s="11">
        <f t="shared" si="3"/>
        <v>0</v>
      </c>
      <c r="R63" s="18">
        <f t="shared" si="4"/>
        <v>1</v>
      </c>
    </row>
    <row r="64" spans="1:18" ht="31.5" customHeight="1" x14ac:dyDescent="0.85">
      <c r="A64" s="12" t="s">
        <v>178</v>
      </c>
      <c r="B64" s="8">
        <f>'[1]Term 2 Summary Sheet'!$B$64</f>
        <v>0</v>
      </c>
      <c r="C64" s="15"/>
      <c r="D64" s="15"/>
      <c r="E64" s="15"/>
      <c r="F64" s="16"/>
      <c r="G64" s="16"/>
      <c r="H64" s="16"/>
      <c r="I64" s="16"/>
      <c r="J64" s="16"/>
      <c r="K64" s="16"/>
      <c r="L64" s="16"/>
      <c r="M64" s="9">
        <f t="shared" si="5"/>
        <v>0</v>
      </c>
      <c r="N64" s="10">
        <f t="shared" si="6"/>
        <v>0</v>
      </c>
      <c r="O64" s="17"/>
      <c r="P64" s="10">
        <f t="shared" si="2"/>
        <v>0</v>
      </c>
      <c r="Q64" s="11">
        <f t="shared" si="3"/>
        <v>0</v>
      </c>
      <c r="R64" s="18">
        <f t="shared" si="4"/>
        <v>1</v>
      </c>
    </row>
    <row r="65" spans="1:18" ht="31.5" customHeight="1" x14ac:dyDescent="0.85">
      <c r="A65" s="12" t="s">
        <v>179</v>
      </c>
      <c r="B65" s="8">
        <f>'[1]Term 2 Summary Sheet'!$B$65</f>
        <v>0</v>
      </c>
      <c r="C65" s="15"/>
      <c r="D65" s="15"/>
      <c r="E65" s="15"/>
      <c r="F65" s="16"/>
      <c r="G65" s="16"/>
      <c r="H65" s="16"/>
      <c r="I65" s="16"/>
      <c r="J65" s="16"/>
      <c r="K65" s="16"/>
      <c r="L65" s="16"/>
      <c r="M65" s="9">
        <f t="shared" si="5"/>
        <v>0</v>
      </c>
      <c r="N65" s="10">
        <f t="shared" si="6"/>
        <v>0</v>
      </c>
      <c r="O65" s="17"/>
      <c r="P65" s="10">
        <f t="shared" si="2"/>
        <v>0</v>
      </c>
      <c r="Q65" s="11">
        <f t="shared" si="3"/>
        <v>0</v>
      </c>
      <c r="R65" s="18">
        <f t="shared" si="4"/>
        <v>1</v>
      </c>
    </row>
    <row r="66" spans="1:18" ht="31.5" customHeight="1" x14ac:dyDescent="0.85">
      <c r="A66" s="12" t="s">
        <v>180</v>
      </c>
      <c r="B66" s="8">
        <f>'[1]Term 2 Summary Sheet'!$B$66</f>
        <v>0</v>
      </c>
      <c r="C66" s="15"/>
      <c r="D66" s="15"/>
      <c r="E66" s="15"/>
      <c r="F66" s="16"/>
      <c r="G66" s="16"/>
      <c r="H66" s="16"/>
      <c r="I66" s="16"/>
      <c r="J66" s="16"/>
      <c r="K66" s="16"/>
      <c r="L66" s="16"/>
      <c r="M66" s="9">
        <f t="shared" si="5"/>
        <v>0</v>
      </c>
      <c r="N66" s="10">
        <f t="shared" si="6"/>
        <v>0</v>
      </c>
      <c r="O66" s="17"/>
      <c r="P66" s="10">
        <f t="shared" si="2"/>
        <v>0</v>
      </c>
      <c r="Q66" s="11">
        <f t="shared" si="3"/>
        <v>0</v>
      </c>
      <c r="R66" s="18">
        <f t="shared" si="4"/>
        <v>1</v>
      </c>
    </row>
    <row r="67" spans="1:18" ht="31.5" customHeight="1" x14ac:dyDescent="0.85">
      <c r="A67" s="12" t="s">
        <v>181</v>
      </c>
      <c r="B67" s="8">
        <f>'[1]Term 2 Summary Sheet'!$B$67</f>
        <v>0</v>
      </c>
      <c r="C67" s="15"/>
      <c r="D67" s="15"/>
      <c r="E67" s="15"/>
      <c r="F67" s="16"/>
      <c r="G67" s="16"/>
      <c r="H67" s="16"/>
      <c r="I67" s="16"/>
      <c r="J67" s="16"/>
      <c r="K67" s="16"/>
      <c r="L67" s="16"/>
      <c r="M67" s="9">
        <f t="shared" si="5"/>
        <v>0</v>
      </c>
      <c r="N67" s="10">
        <f t="shared" si="6"/>
        <v>0</v>
      </c>
      <c r="O67" s="17"/>
      <c r="P67" s="10">
        <f t="shared" si="2"/>
        <v>0</v>
      </c>
      <c r="Q67" s="11">
        <f t="shared" si="3"/>
        <v>0</v>
      </c>
      <c r="R67" s="18">
        <f t="shared" si="4"/>
        <v>1</v>
      </c>
    </row>
    <row r="68" spans="1:18" ht="31.5" customHeight="1" x14ac:dyDescent="0.85">
      <c r="A68" s="12" t="s">
        <v>182</v>
      </c>
      <c r="B68" s="8">
        <f>'[1]Term 2 Summary Sheet'!$B$68</f>
        <v>0</v>
      </c>
      <c r="C68" s="15"/>
      <c r="D68" s="15"/>
      <c r="E68" s="15"/>
      <c r="F68" s="16"/>
      <c r="G68" s="16"/>
      <c r="H68" s="16"/>
      <c r="I68" s="16"/>
      <c r="J68" s="16"/>
      <c r="K68" s="16"/>
      <c r="L68" s="16"/>
      <c r="M68" s="9">
        <f t="shared" ref="M68:M99" si="7">SUM(C68:L68)</f>
        <v>0</v>
      </c>
      <c r="N68" s="10">
        <f t="shared" ref="N68:N99" si="8">M68/100 *50</f>
        <v>0</v>
      </c>
      <c r="O68" s="17"/>
      <c r="P68" s="10">
        <f t="shared" ref="P68:P104" si="9">O68/100 *50</f>
        <v>0</v>
      </c>
      <c r="Q68" s="11">
        <f t="shared" ref="Q68:Q104" si="10">SUM(N68,P68)</f>
        <v>0</v>
      </c>
      <c r="R68" s="18">
        <f t="shared" si="4"/>
        <v>1</v>
      </c>
    </row>
    <row r="69" spans="1:18" ht="31.5" customHeight="1" x14ac:dyDescent="0.85">
      <c r="A69" s="12" t="s">
        <v>183</v>
      </c>
      <c r="B69" s="8">
        <f>'[1]Term 2 Summary Sheet'!$B$69</f>
        <v>0</v>
      </c>
      <c r="C69" s="15"/>
      <c r="D69" s="15"/>
      <c r="E69" s="15"/>
      <c r="F69" s="16"/>
      <c r="G69" s="16"/>
      <c r="H69" s="16"/>
      <c r="I69" s="16"/>
      <c r="J69" s="16"/>
      <c r="K69" s="16"/>
      <c r="L69" s="16"/>
      <c r="M69" s="9">
        <f t="shared" si="7"/>
        <v>0</v>
      </c>
      <c r="N69" s="10">
        <f t="shared" si="8"/>
        <v>0</v>
      </c>
      <c r="O69" s="17"/>
      <c r="P69" s="10">
        <f t="shared" si="9"/>
        <v>0</v>
      </c>
      <c r="Q69" s="11">
        <f t="shared" si="10"/>
        <v>0</v>
      </c>
      <c r="R69" s="18">
        <f t="shared" si="4"/>
        <v>1</v>
      </c>
    </row>
    <row r="70" spans="1:18" ht="31.5" customHeight="1" x14ac:dyDescent="0.85">
      <c r="A70" s="12" t="s">
        <v>184</v>
      </c>
      <c r="B70" s="8">
        <f>'[1]Term 2 Summary Sheet'!$B$70</f>
        <v>0</v>
      </c>
      <c r="C70" s="15"/>
      <c r="D70" s="15"/>
      <c r="E70" s="15"/>
      <c r="F70" s="16"/>
      <c r="G70" s="16"/>
      <c r="H70" s="16"/>
      <c r="I70" s="16"/>
      <c r="J70" s="16"/>
      <c r="K70" s="16"/>
      <c r="L70" s="16"/>
      <c r="M70" s="9">
        <f t="shared" si="7"/>
        <v>0</v>
      </c>
      <c r="N70" s="10">
        <f t="shared" si="8"/>
        <v>0</v>
      </c>
      <c r="O70" s="17"/>
      <c r="P70" s="10">
        <f t="shared" si="9"/>
        <v>0</v>
      </c>
      <c r="Q70" s="11">
        <f t="shared" si="10"/>
        <v>0</v>
      </c>
      <c r="R70" s="18">
        <f t="shared" ref="R70:R104" si="11">_xlfn.RANK.EQ(Q70,$Q$5:$Q$104,)</f>
        <v>1</v>
      </c>
    </row>
    <row r="71" spans="1:18" ht="31.5" customHeight="1" x14ac:dyDescent="0.85">
      <c r="A71" s="12" t="s">
        <v>185</v>
      </c>
      <c r="B71" s="8">
        <f>'[1]Term 2 Summary Sheet'!$B$71</f>
        <v>0</v>
      </c>
      <c r="C71" s="15"/>
      <c r="D71" s="15"/>
      <c r="E71" s="15"/>
      <c r="F71" s="16"/>
      <c r="G71" s="16"/>
      <c r="H71" s="16"/>
      <c r="I71" s="16"/>
      <c r="J71" s="16"/>
      <c r="K71" s="16"/>
      <c r="L71" s="16"/>
      <c r="M71" s="9">
        <f t="shared" si="7"/>
        <v>0</v>
      </c>
      <c r="N71" s="10">
        <f t="shared" si="8"/>
        <v>0</v>
      </c>
      <c r="O71" s="17"/>
      <c r="P71" s="10">
        <f t="shared" si="9"/>
        <v>0</v>
      </c>
      <c r="Q71" s="11">
        <f t="shared" si="10"/>
        <v>0</v>
      </c>
      <c r="R71" s="18">
        <f t="shared" si="11"/>
        <v>1</v>
      </c>
    </row>
    <row r="72" spans="1:18" ht="31.5" customHeight="1" x14ac:dyDescent="0.85">
      <c r="A72" s="12" t="s">
        <v>186</v>
      </c>
      <c r="B72" s="8">
        <f>'[1]Term 2 Summary Sheet'!$B$72</f>
        <v>0</v>
      </c>
      <c r="C72" s="15"/>
      <c r="D72" s="15"/>
      <c r="E72" s="15"/>
      <c r="F72" s="16"/>
      <c r="G72" s="16"/>
      <c r="H72" s="16"/>
      <c r="I72" s="16"/>
      <c r="J72" s="16"/>
      <c r="K72" s="16"/>
      <c r="L72" s="16"/>
      <c r="M72" s="9">
        <f t="shared" si="7"/>
        <v>0</v>
      </c>
      <c r="N72" s="10">
        <f t="shared" si="8"/>
        <v>0</v>
      </c>
      <c r="O72" s="17"/>
      <c r="P72" s="10">
        <f t="shared" si="9"/>
        <v>0</v>
      </c>
      <c r="Q72" s="11">
        <f t="shared" si="10"/>
        <v>0</v>
      </c>
      <c r="R72" s="18">
        <f t="shared" si="11"/>
        <v>1</v>
      </c>
    </row>
    <row r="73" spans="1:18" ht="31.5" customHeight="1" x14ac:dyDescent="0.85">
      <c r="A73" s="12" t="s">
        <v>187</v>
      </c>
      <c r="B73" s="8">
        <f>'[1]Term 2 Summary Sheet'!$B$73</f>
        <v>0</v>
      </c>
      <c r="C73" s="15"/>
      <c r="D73" s="15"/>
      <c r="E73" s="15"/>
      <c r="F73" s="16"/>
      <c r="G73" s="16"/>
      <c r="H73" s="16"/>
      <c r="I73" s="16"/>
      <c r="J73" s="16"/>
      <c r="K73" s="16"/>
      <c r="L73" s="16"/>
      <c r="M73" s="9">
        <f t="shared" si="7"/>
        <v>0</v>
      </c>
      <c r="N73" s="10">
        <f t="shared" si="8"/>
        <v>0</v>
      </c>
      <c r="O73" s="17"/>
      <c r="P73" s="10">
        <f t="shared" si="9"/>
        <v>0</v>
      </c>
      <c r="Q73" s="11">
        <f t="shared" si="10"/>
        <v>0</v>
      </c>
      <c r="R73" s="18">
        <f t="shared" si="11"/>
        <v>1</v>
      </c>
    </row>
    <row r="74" spans="1:18" ht="31.5" customHeight="1" x14ac:dyDescent="0.85">
      <c r="A74" s="12" t="s">
        <v>188</v>
      </c>
      <c r="B74" s="8">
        <f>'[1]Term 2 Summary Sheet'!$B$74</f>
        <v>0</v>
      </c>
      <c r="C74" s="15"/>
      <c r="D74" s="15"/>
      <c r="E74" s="15"/>
      <c r="F74" s="16"/>
      <c r="G74" s="16"/>
      <c r="H74" s="16"/>
      <c r="I74" s="16"/>
      <c r="J74" s="16"/>
      <c r="K74" s="16"/>
      <c r="L74" s="16"/>
      <c r="M74" s="9">
        <f t="shared" si="7"/>
        <v>0</v>
      </c>
      <c r="N74" s="10">
        <f t="shared" si="8"/>
        <v>0</v>
      </c>
      <c r="O74" s="17"/>
      <c r="P74" s="10">
        <f t="shared" si="9"/>
        <v>0</v>
      </c>
      <c r="Q74" s="11">
        <f t="shared" si="10"/>
        <v>0</v>
      </c>
      <c r="R74" s="18">
        <f t="shared" si="11"/>
        <v>1</v>
      </c>
    </row>
    <row r="75" spans="1:18" ht="31.5" customHeight="1" x14ac:dyDescent="0.85">
      <c r="A75" s="12" t="s">
        <v>189</v>
      </c>
      <c r="B75" s="8">
        <f>'[1]Term 2 Summary Sheet'!$B$75</f>
        <v>0</v>
      </c>
      <c r="C75" s="15"/>
      <c r="D75" s="15"/>
      <c r="E75" s="15"/>
      <c r="F75" s="16"/>
      <c r="G75" s="16"/>
      <c r="H75" s="16"/>
      <c r="I75" s="16"/>
      <c r="J75" s="16"/>
      <c r="K75" s="16"/>
      <c r="L75" s="16"/>
      <c r="M75" s="9">
        <f t="shared" si="7"/>
        <v>0</v>
      </c>
      <c r="N75" s="10">
        <f t="shared" si="8"/>
        <v>0</v>
      </c>
      <c r="O75" s="17"/>
      <c r="P75" s="10">
        <f t="shared" si="9"/>
        <v>0</v>
      </c>
      <c r="Q75" s="11">
        <f t="shared" si="10"/>
        <v>0</v>
      </c>
      <c r="R75" s="18">
        <f t="shared" si="11"/>
        <v>1</v>
      </c>
    </row>
    <row r="76" spans="1:18" ht="31.5" customHeight="1" x14ac:dyDescent="0.85">
      <c r="A76" s="12" t="s">
        <v>190</v>
      </c>
      <c r="B76" s="8">
        <f>'[1]Term 2 Summary Sheet'!$B$76</f>
        <v>0</v>
      </c>
      <c r="C76" s="15"/>
      <c r="D76" s="15"/>
      <c r="E76" s="15"/>
      <c r="F76" s="16"/>
      <c r="G76" s="16"/>
      <c r="H76" s="16"/>
      <c r="I76" s="16"/>
      <c r="J76" s="16"/>
      <c r="K76" s="16"/>
      <c r="L76" s="16"/>
      <c r="M76" s="9">
        <f t="shared" si="7"/>
        <v>0</v>
      </c>
      <c r="N76" s="10">
        <f t="shared" si="8"/>
        <v>0</v>
      </c>
      <c r="O76" s="17"/>
      <c r="P76" s="10">
        <f t="shared" si="9"/>
        <v>0</v>
      </c>
      <c r="Q76" s="11">
        <f t="shared" si="10"/>
        <v>0</v>
      </c>
      <c r="R76" s="18">
        <f t="shared" si="11"/>
        <v>1</v>
      </c>
    </row>
    <row r="77" spans="1:18" ht="31.5" customHeight="1" x14ac:dyDescent="0.85">
      <c r="A77" s="12" t="s">
        <v>191</v>
      </c>
      <c r="B77" s="8">
        <f>'[1]Term 2 Summary Sheet'!$B$77</f>
        <v>0</v>
      </c>
      <c r="C77" s="15"/>
      <c r="D77" s="15"/>
      <c r="E77" s="15"/>
      <c r="F77" s="16"/>
      <c r="G77" s="16"/>
      <c r="H77" s="16"/>
      <c r="I77" s="16"/>
      <c r="J77" s="16"/>
      <c r="K77" s="16"/>
      <c r="L77" s="16"/>
      <c r="M77" s="9">
        <f t="shared" si="7"/>
        <v>0</v>
      </c>
      <c r="N77" s="10">
        <f t="shared" si="8"/>
        <v>0</v>
      </c>
      <c r="O77" s="17"/>
      <c r="P77" s="10">
        <f t="shared" si="9"/>
        <v>0</v>
      </c>
      <c r="Q77" s="11">
        <f t="shared" si="10"/>
        <v>0</v>
      </c>
      <c r="R77" s="18">
        <f t="shared" si="11"/>
        <v>1</v>
      </c>
    </row>
    <row r="78" spans="1:18" ht="31.5" customHeight="1" x14ac:dyDescent="0.85">
      <c r="A78" s="12" t="s">
        <v>192</v>
      </c>
      <c r="B78" s="8">
        <f>'[1]Term 2 Summary Sheet'!$B$78</f>
        <v>0</v>
      </c>
      <c r="C78" s="15"/>
      <c r="D78" s="15"/>
      <c r="E78" s="15"/>
      <c r="F78" s="16"/>
      <c r="G78" s="16"/>
      <c r="H78" s="16"/>
      <c r="I78" s="16"/>
      <c r="J78" s="16"/>
      <c r="K78" s="16"/>
      <c r="L78" s="16"/>
      <c r="M78" s="9">
        <f t="shared" si="7"/>
        <v>0</v>
      </c>
      <c r="N78" s="10">
        <f t="shared" si="8"/>
        <v>0</v>
      </c>
      <c r="O78" s="17"/>
      <c r="P78" s="10">
        <f t="shared" si="9"/>
        <v>0</v>
      </c>
      <c r="Q78" s="11">
        <f t="shared" si="10"/>
        <v>0</v>
      </c>
      <c r="R78" s="18">
        <f t="shared" si="11"/>
        <v>1</v>
      </c>
    </row>
    <row r="79" spans="1:18" ht="31.5" customHeight="1" x14ac:dyDescent="0.85">
      <c r="A79" s="12" t="s">
        <v>193</v>
      </c>
      <c r="B79" s="8">
        <f>'[1]Term 2 Summary Sheet'!$B$79</f>
        <v>0</v>
      </c>
      <c r="C79" s="15"/>
      <c r="D79" s="15"/>
      <c r="E79" s="15"/>
      <c r="F79" s="16"/>
      <c r="G79" s="16"/>
      <c r="H79" s="16"/>
      <c r="I79" s="16"/>
      <c r="J79" s="16"/>
      <c r="K79" s="16"/>
      <c r="L79" s="16"/>
      <c r="M79" s="9">
        <f t="shared" si="7"/>
        <v>0</v>
      </c>
      <c r="N79" s="10">
        <f t="shared" si="8"/>
        <v>0</v>
      </c>
      <c r="O79" s="17"/>
      <c r="P79" s="10">
        <f t="shared" si="9"/>
        <v>0</v>
      </c>
      <c r="Q79" s="11">
        <f t="shared" si="10"/>
        <v>0</v>
      </c>
      <c r="R79" s="18">
        <f t="shared" si="11"/>
        <v>1</v>
      </c>
    </row>
    <row r="80" spans="1:18" ht="31.5" customHeight="1" x14ac:dyDescent="0.85">
      <c r="A80" s="12" t="s">
        <v>194</v>
      </c>
      <c r="B80" s="8">
        <f>'[1]Term 2 Summary Sheet'!$B$80</f>
        <v>0</v>
      </c>
      <c r="C80" s="15"/>
      <c r="D80" s="15"/>
      <c r="E80" s="15"/>
      <c r="F80" s="16"/>
      <c r="G80" s="16"/>
      <c r="H80" s="16"/>
      <c r="I80" s="16"/>
      <c r="J80" s="16"/>
      <c r="K80" s="16"/>
      <c r="L80" s="16"/>
      <c r="M80" s="9">
        <f t="shared" si="7"/>
        <v>0</v>
      </c>
      <c r="N80" s="10">
        <f t="shared" si="8"/>
        <v>0</v>
      </c>
      <c r="O80" s="17"/>
      <c r="P80" s="10">
        <f t="shared" si="9"/>
        <v>0</v>
      </c>
      <c r="Q80" s="11">
        <f t="shared" si="10"/>
        <v>0</v>
      </c>
      <c r="R80" s="18">
        <f t="shared" si="11"/>
        <v>1</v>
      </c>
    </row>
    <row r="81" spans="1:18" ht="31.5" customHeight="1" x14ac:dyDescent="0.85">
      <c r="A81" s="12" t="s">
        <v>195</v>
      </c>
      <c r="B81" s="8">
        <f>'[1]Term 2 Summary Sheet'!$B$81</f>
        <v>0</v>
      </c>
      <c r="C81" s="15"/>
      <c r="D81" s="15"/>
      <c r="E81" s="15"/>
      <c r="F81" s="16"/>
      <c r="G81" s="16"/>
      <c r="H81" s="16"/>
      <c r="I81" s="16"/>
      <c r="J81" s="16"/>
      <c r="K81" s="16"/>
      <c r="L81" s="16"/>
      <c r="M81" s="9">
        <f t="shared" si="7"/>
        <v>0</v>
      </c>
      <c r="N81" s="10">
        <f t="shared" si="8"/>
        <v>0</v>
      </c>
      <c r="O81" s="17"/>
      <c r="P81" s="10">
        <f t="shared" si="9"/>
        <v>0</v>
      </c>
      <c r="Q81" s="11">
        <f t="shared" si="10"/>
        <v>0</v>
      </c>
      <c r="R81" s="18">
        <f t="shared" si="11"/>
        <v>1</v>
      </c>
    </row>
    <row r="82" spans="1:18" ht="31.5" customHeight="1" x14ac:dyDescent="0.85">
      <c r="A82" s="12" t="s">
        <v>196</v>
      </c>
      <c r="B82" s="8">
        <f>'[1]Term 2 Summary Sheet'!$B$82</f>
        <v>0</v>
      </c>
      <c r="C82" s="15"/>
      <c r="D82" s="15"/>
      <c r="E82" s="15"/>
      <c r="F82" s="16"/>
      <c r="G82" s="16"/>
      <c r="H82" s="16"/>
      <c r="I82" s="16"/>
      <c r="J82" s="16"/>
      <c r="K82" s="16"/>
      <c r="L82" s="16"/>
      <c r="M82" s="9">
        <f t="shared" si="7"/>
        <v>0</v>
      </c>
      <c r="N82" s="10">
        <f t="shared" si="8"/>
        <v>0</v>
      </c>
      <c r="O82" s="17"/>
      <c r="P82" s="10">
        <f t="shared" si="9"/>
        <v>0</v>
      </c>
      <c r="Q82" s="11">
        <f t="shared" si="10"/>
        <v>0</v>
      </c>
      <c r="R82" s="18">
        <f t="shared" si="11"/>
        <v>1</v>
      </c>
    </row>
    <row r="83" spans="1:18" ht="31.5" customHeight="1" x14ac:dyDescent="0.85">
      <c r="A83" s="12" t="s">
        <v>197</v>
      </c>
      <c r="B83" s="8">
        <f>'[1]Term 2 Summary Sheet'!$B$83</f>
        <v>0</v>
      </c>
      <c r="C83" s="15"/>
      <c r="D83" s="15"/>
      <c r="E83" s="15"/>
      <c r="F83" s="16"/>
      <c r="G83" s="16"/>
      <c r="H83" s="16"/>
      <c r="I83" s="16"/>
      <c r="J83" s="16"/>
      <c r="K83" s="16"/>
      <c r="L83" s="16"/>
      <c r="M83" s="9">
        <f t="shared" si="7"/>
        <v>0</v>
      </c>
      <c r="N83" s="10">
        <f t="shared" si="8"/>
        <v>0</v>
      </c>
      <c r="O83" s="17"/>
      <c r="P83" s="10">
        <f t="shared" si="9"/>
        <v>0</v>
      </c>
      <c r="Q83" s="11">
        <f t="shared" si="10"/>
        <v>0</v>
      </c>
      <c r="R83" s="18">
        <f t="shared" si="11"/>
        <v>1</v>
      </c>
    </row>
    <row r="84" spans="1:18" ht="31.5" customHeight="1" x14ac:dyDescent="0.85">
      <c r="A84" s="12" t="s">
        <v>198</v>
      </c>
      <c r="B84" s="8">
        <f>'[1]Term 2 Summary Sheet'!$B$84</f>
        <v>0</v>
      </c>
      <c r="C84" s="15"/>
      <c r="D84" s="15"/>
      <c r="E84" s="15"/>
      <c r="F84" s="16"/>
      <c r="G84" s="16"/>
      <c r="H84" s="16"/>
      <c r="I84" s="16"/>
      <c r="J84" s="16"/>
      <c r="K84" s="16"/>
      <c r="L84" s="16"/>
      <c r="M84" s="9">
        <f t="shared" si="7"/>
        <v>0</v>
      </c>
      <c r="N84" s="10">
        <f t="shared" si="8"/>
        <v>0</v>
      </c>
      <c r="O84" s="17"/>
      <c r="P84" s="10">
        <f t="shared" si="9"/>
        <v>0</v>
      </c>
      <c r="Q84" s="11">
        <f t="shared" si="10"/>
        <v>0</v>
      </c>
      <c r="R84" s="18">
        <f t="shared" si="11"/>
        <v>1</v>
      </c>
    </row>
    <row r="85" spans="1:18" ht="31.5" customHeight="1" x14ac:dyDescent="0.85">
      <c r="A85" s="12" t="s">
        <v>199</v>
      </c>
      <c r="B85" s="8">
        <f>'[1]Term 2 Summary Sheet'!$B$85</f>
        <v>0</v>
      </c>
      <c r="C85" s="15"/>
      <c r="D85" s="15"/>
      <c r="E85" s="15"/>
      <c r="F85" s="16"/>
      <c r="G85" s="16"/>
      <c r="H85" s="16"/>
      <c r="I85" s="16"/>
      <c r="J85" s="16"/>
      <c r="K85" s="16"/>
      <c r="L85" s="16"/>
      <c r="M85" s="9">
        <f t="shared" si="7"/>
        <v>0</v>
      </c>
      <c r="N85" s="10">
        <f t="shared" si="8"/>
        <v>0</v>
      </c>
      <c r="O85" s="17"/>
      <c r="P85" s="10">
        <f t="shared" si="9"/>
        <v>0</v>
      </c>
      <c r="Q85" s="11">
        <f t="shared" si="10"/>
        <v>0</v>
      </c>
      <c r="R85" s="18">
        <f t="shared" si="11"/>
        <v>1</v>
      </c>
    </row>
    <row r="86" spans="1:18" ht="31.5" customHeight="1" x14ac:dyDescent="0.85">
      <c r="A86" s="12" t="s">
        <v>200</v>
      </c>
      <c r="B86" s="8">
        <f>'[1]Term 2 Summary Sheet'!$B$86</f>
        <v>0</v>
      </c>
      <c r="C86" s="15"/>
      <c r="D86" s="15"/>
      <c r="E86" s="15"/>
      <c r="F86" s="16"/>
      <c r="G86" s="16"/>
      <c r="H86" s="16"/>
      <c r="I86" s="16"/>
      <c r="J86" s="16"/>
      <c r="K86" s="16"/>
      <c r="L86" s="16"/>
      <c r="M86" s="9">
        <f t="shared" si="7"/>
        <v>0</v>
      </c>
      <c r="N86" s="10">
        <f t="shared" si="8"/>
        <v>0</v>
      </c>
      <c r="O86" s="17"/>
      <c r="P86" s="10">
        <f t="shared" si="9"/>
        <v>0</v>
      </c>
      <c r="Q86" s="11">
        <f t="shared" si="10"/>
        <v>0</v>
      </c>
      <c r="R86" s="18">
        <f t="shared" si="11"/>
        <v>1</v>
      </c>
    </row>
    <row r="87" spans="1:18" ht="31.5" customHeight="1" x14ac:dyDescent="0.85">
      <c r="A87" s="12" t="s">
        <v>201</v>
      </c>
      <c r="B87" s="8">
        <f>'[1]Term 2 Summary Sheet'!$B$87</f>
        <v>0</v>
      </c>
      <c r="C87" s="15"/>
      <c r="D87" s="15"/>
      <c r="E87" s="15"/>
      <c r="F87" s="16"/>
      <c r="G87" s="16"/>
      <c r="H87" s="16"/>
      <c r="I87" s="16"/>
      <c r="J87" s="16"/>
      <c r="K87" s="16"/>
      <c r="L87" s="16"/>
      <c r="M87" s="9">
        <f t="shared" si="7"/>
        <v>0</v>
      </c>
      <c r="N87" s="10">
        <f t="shared" si="8"/>
        <v>0</v>
      </c>
      <c r="O87" s="17"/>
      <c r="P87" s="10">
        <f t="shared" si="9"/>
        <v>0</v>
      </c>
      <c r="Q87" s="11">
        <f t="shared" si="10"/>
        <v>0</v>
      </c>
      <c r="R87" s="18">
        <f t="shared" si="11"/>
        <v>1</v>
      </c>
    </row>
    <row r="88" spans="1:18" ht="31.5" customHeight="1" x14ac:dyDescent="0.85">
      <c r="A88" s="12" t="s">
        <v>202</v>
      </c>
      <c r="B88" s="8">
        <f>'[1]Term 2 Summary Sheet'!$B$88</f>
        <v>0</v>
      </c>
      <c r="C88" s="15"/>
      <c r="D88" s="15"/>
      <c r="E88" s="15"/>
      <c r="F88" s="16"/>
      <c r="G88" s="16"/>
      <c r="H88" s="16"/>
      <c r="I88" s="16"/>
      <c r="J88" s="16"/>
      <c r="K88" s="16"/>
      <c r="L88" s="16"/>
      <c r="M88" s="9">
        <f t="shared" si="7"/>
        <v>0</v>
      </c>
      <c r="N88" s="10">
        <f t="shared" si="8"/>
        <v>0</v>
      </c>
      <c r="O88" s="17"/>
      <c r="P88" s="10">
        <f t="shared" si="9"/>
        <v>0</v>
      </c>
      <c r="Q88" s="11">
        <f t="shared" si="10"/>
        <v>0</v>
      </c>
      <c r="R88" s="18">
        <f t="shared" si="11"/>
        <v>1</v>
      </c>
    </row>
    <row r="89" spans="1:18" ht="31.5" customHeight="1" x14ac:dyDescent="0.85">
      <c r="A89" s="12" t="s">
        <v>203</v>
      </c>
      <c r="B89" s="8">
        <f>'[1]Term 2 Summary Sheet'!$B$89</f>
        <v>0</v>
      </c>
      <c r="C89" s="15"/>
      <c r="D89" s="15"/>
      <c r="E89" s="15"/>
      <c r="F89" s="16"/>
      <c r="G89" s="16"/>
      <c r="H89" s="16"/>
      <c r="I89" s="16"/>
      <c r="J89" s="16"/>
      <c r="K89" s="16"/>
      <c r="L89" s="16"/>
      <c r="M89" s="9">
        <f t="shared" si="7"/>
        <v>0</v>
      </c>
      <c r="N89" s="10">
        <f t="shared" si="8"/>
        <v>0</v>
      </c>
      <c r="O89" s="17"/>
      <c r="P89" s="10">
        <f t="shared" si="9"/>
        <v>0</v>
      </c>
      <c r="Q89" s="11">
        <f t="shared" si="10"/>
        <v>0</v>
      </c>
      <c r="R89" s="18">
        <f t="shared" si="11"/>
        <v>1</v>
      </c>
    </row>
    <row r="90" spans="1:18" ht="31.5" customHeight="1" x14ac:dyDescent="0.85">
      <c r="A90" s="12" t="s">
        <v>204</v>
      </c>
      <c r="B90" s="8">
        <f>'[1]Term 2 Summary Sheet'!$B$90</f>
        <v>0</v>
      </c>
      <c r="C90" s="15"/>
      <c r="D90" s="15"/>
      <c r="E90" s="15"/>
      <c r="F90" s="16"/>
      <c r="G90" s="16"/>
      <c r="H90" s="16"/>
      <c r="I90" s="16"/>
      <c r="J90" s="16"/>
      <c r="K90" s="16"/>
      <c r="L90" s="16"/>
      <c r="M90" s="9">
        <f t="shared" si="7"/>
        <v>0</v>
      </c>
      <c r="N90" s="10">
        <f t="shared" si="8"/>
        <v>0</v>
      </c>
      <c r="O90" s="17"/>
      <c r="P90" s="10">
        <f t="shared" si="9"/>
        <v>0</v>
      </c>
      <c r="Q90" s="11">
        <f t="shared" si="10"/>
        <v>0</v>
      </c>
      <c r="R90" s="18">
        <f t="shared" si="11"/>
        <v>1</v>
      </c>
    </row>
    <row r="91" spans="1:18" ht="31.5" customHeight="1" x14ac:dyDescent="0.85">
      <c r="A91" s="12" t="s">
        <v>205</v>
      </c>
      <c r="B91" s="8">
        <f>'[1]Term 2 Summary Sheet'!$B$91</f>
        <v>0</v>
      </c>
      <c r="C91" s="15"/>
      <c r="D91" s="15"/>
      <c r="E91" s="15"/>
      <c r="F91" s="16"/>
      <c r="G91" s="16"/>
      <c r="H91" s="16"/>
      <c r="I91" s="16"/>
      <c r="J91" s="16"/>
      <c r="K91" s="16"/>
      <c r="L91" s="16"/>
      <c r="M91" s="9">
        <f t="shared" si="7"/>
        <v>0</v>
      </c>
      <c r="N91" s="10">
        <f t="shared" si="8"/>
        <v>0</v>
      </c>
      <c r="O91" s="17"/>
      <c r="P91" s="10">
        <f t="shared" si="9"/>
        <v>0</v>
      </c>
      <c r="Q91" s="11">
        <f t="shared" si="10"/>
        <v>0</v>
      </c>
      <c r="R91" s="18">
        <f t="shared" si="11"/>
        <v>1</v>
      </c>
    </row>
    <row r="92" spans="1:18" ht="31.5" customHeight="1" x14ac:dyDescent="0.85">
      <c r="A92" s="12" t="s">
        <v>206</v>
      </c>
      <c r="B92" s="8">
        <f>'[1]Term 2 Summary Sheet'!$B$92</f>
        <v>0</v>
      </c>
      <c r="C92" s="15"/>
      <c r="D92" s="15"/>
      <c r="E92" s="15"/>
      <c r="F92" s="16"/>
      <c r="G92" s="16"/>
      <c r="H92" s="16"/>
      <c r="I92" s="16"/>
      <c r="J92" s="16"/>
      <c r="K92" s="16"/>
      <c r="L92" s="16"/>
      <c r="M92" s="9">
        <f t="shared" si="7"/>
        <v>0</v>
      </c>
      <c r="N92" s="10">
        <f t="shared" si="8"/>
        <v>0</v>
      </c>
      <c r="O92" s="17"/>
      <c r="P92" s="10">
        <f t="shared" si="9"/>
        <v>0</v>
      </c>
      <c r="Q92" s="11">
        <f t="shared" si="10"/>
        <v>0</v>
      </c>
      <c r="R92" s="18">
        <f t="shared" si="11"/>
        <v>1</v>
      </c>
    </row>
    <row r="93" spans="1:18" ht="31.5" customHeight="1" x14ac:dyDescent="0.85">
      <c r="A93" s="12" t="s">
        <v>207</v>
      </c>
      <c r="B93" s="8">
        <f>'[1]Term 2 Summary Sheet'!$B$93</f>
        <v>0</v>
      </c>
      <c r="C93" s="15"/>
      <c r="D93" s="15"/>
      <c r="E93" s="15"/>
      <c r="F93" s="16"/>
      <c r="G93" s="16"/>
      <c r="H93" s="16"/>
      <c r="I93" s="16"/>
      <c r="J93" s="16"/>
      <c r="K93" s="16"/>
      <c r="L93" s="16"/>
      <c r="M93" s="9">
        <f t="shared" si="7"/>
        <v>0</v>
      </c>
      <c r="N93" s="10">
        <f t="shared" si="8"/>
        <v>0</v>
      </c>
      <c r="O93" s="17"/>
      <c r="P93" s="10">
        <f t="shared" si="9"/>
        <v>0</v>
      </c>
      <c r="Q93" s="11">
        <f t="shared" si="10"/>
        <v>0</v>
      </c>
      <c r="R93" s="18">
        <f t="shared" si="11"/>
        <v>1</v>
      </c>
    </row>
    <row r="94" spans="1:18" ht="31.5" customHeight="1" x14ac:dyDescent="0.85">
      <c r="A94" s="12" t="s">
        <v>208</v>
      </c>
      <c r="B94" s="8">
        <f>'[1]Term 2 Summary Sheet'!$B$94</f>
        <v>0</v>
      </c>
      <c r="C94" s="15"/>
      <c r="D94" s="15"/>
      <c r="E94" s="15"/>
      <c r="F94" s="16"/>
      <c r="G94" s="16"/>
      <c r="H94" s="16"/>
      <c r="I94" s="16"/>
      <c r="J94" s="16"/>
      <c r="K94" s="16"/>
      <c r="L94" s="16"/>
      <c r="M94" s="9">
        <f t="shared" si="7"/>
        <v>0</v>
      </c>
      <c r="N94" s="10">
        <f t="shared" si="8"/>
        <v>0</v>
      </c>
      <c r="O94" s="17"/>
      <c r="P94" s="10">
        <f t="shared" si="9"/>
        <v>0</v>
      </c>
      <c r="Q94" s="11">
        <f t="shared" si="10"/>
        <v>0</v>
      </c>
      <c r="R94" s="18">
        <f t="shared" si="11"/>
        <v>1</v>
      </c>
    </row>
    <row r="95" spans="1:18" ht="31.5" customHeight="1" x14ac:dyDescent="0.85">
      <c r="A95" s="12" t="s">
        <v>209</v>
      </c>
      <c r="B95" s="8">
        <f>'[1]Term 2 Summary Sheet'!$B$95</f>
        <v>0</v>
      </c>
      <c r="C95" s="15"/>
      <c r="D95" s="15"/>
      <c r="E95" s="15"/>
      <c r="F95" s="16"/>
      <c r="G95" s="16"/>
      <c r="H95" s="16"/>
      <c r="I95" s="16"/>
      <c r="J95" s="16"/>
      <c r="K95" s="16"/>
      <c r="L95" s="16"/>
      <c r="M95" s="9">
        <f t="shared" si="7"/>
        <v>0</v>
      </c>
      <c r="N95" s="10">
        <f t="shared" si="8"/>
        <v>0</v>
      </c>
      <c r="O95" s="17"/>
      <c r="P95" s="10">
        <f t="shared" si="9"/>
        <v>0</v>
      </c>
      <c r="Q95" s="11">
        <f t="shared" si="10"/>
        <v>0</v>
      </c>
      <c r="R95" s="18">
        <f t="shared" si="11"/>
        <v>1</v>
      </c>
    </row>
    <row r="96" spans="1:18" ht="31.5" customHeight="1" x14ac:dyDescent="0.85">
      <c r="A96" s="12" t="s">
        <v>210</v>
      </c>
      <c r="B96" s="8">
        <f>'[1]Term 2 Summary Sheet'!$B$96</f>
        <v>0</v>
      </c>
      <c r="C96" s="15"/>
      <c r="D96" s="15"/>
      <c r="E96" s="15"/>
      <c r="F96" s="16"/>
      <c r="G96" s="16"/>
      <c r="H96" s="16"/>
      <c r="I96" s="16"/>
      <c r="J96" s="16"/>
      <c r="K96" s="16"/>
      <c r="L96" s="16"/>
      <c r="M96" s="9">
        <f t="shared" si="7"/>
        <v>0</v>
      </c>
      <c r="N96" s="10">
        <f t="shared" si="8"/>
        <v>0</v>
      </c>
      <c r="O96" s="17"/>
      <c r="P96" s="10">
        <f t="shared" si="9"/>
        <v>0</v>
      </c>
      <c r="Q96" s="11">
        <f t="shared" si="10"/>
        <v>0</v>
      </c>
      <c r="R96" s="18">
        <f t="shared" si="11"/>
        <v>1</v>
      </c>
    </row>
    <row r="97" spans="1:18" ht="31.5" customHeight="1" x14ac:dyDescent="0.85">
      <c r="A97" s="12" t="s">
        <v>211</v>
      </c>
      <c r="B97" s="8">
        <f>'[1]Term 2 Summary Sheet'!$B$97</f>
        <v>0</v>
      </c>
      <c r="C97" s="15"/>
      <c r="D97" s="15"/>
      <c r="E97" s="15"/>
      <c r="F97" s="16"/>
      <c r="G97" s="16"/>
      <c r="H97" s="16"/>
      <c r="I97" s="16"/>
      <c r="J97" s="16"/>
      <c r="K97" s="16"/>
      <c r="L97" s="16"/>
      <c r="M97" s="9">
        <f t="shared" si="7"/>
        <v>0</v>
      </c>
      <c r="N97" s="10">
        <f t="shared" si="8"/>
        <v>0</v>
      </c>
      <c r="O97" s="17"/>
      <c r="P97" s="10">
        <f t="shared" si="9"/>
        <v>0</v>
      </c>
      <c r="Q97" s="11">
        <f t="shared" si="10"/>
        <v>0</v>
      </c>
      <c r="R97" s="18">
        <f t="shared" si="11"/>
        <v>1</v>
      </c>
    </row>
    <row r="98" spans="1:18" ht="31.5" customHeight="1" x14ac:dyDescent="0.85">
      <c r="A98" s="12" t="s">
        <v>212</v>
      </c>
      <c r="B98" s="8">
        <f>'[1]Term 2 Summary Sheet'!$B$98</f>
        <v>0</v>
      </c>
      <c r="C98" s="15"/>
      <c r="D98" s="15"/>
      <c r="E98" s="15"/>
      <c r="F98" s="16"/>
      <c r="G98" s="16"/>
      <c r="H98" s="16"/>
      <c r="I98" s="16"/>
      <c r="J98" s="16"/>
      <c r="K98" s="16"/>
      <c r="L98" s="16"/>
      <c r="M98" s="9">
        <f t="shared" si="7"/>
        <v>0</v>
      </c>
      <c r="N98" s="10">
        <f t="shared" si="8"/>
        <v>0</v>
      </c>
      <c r="O98" s="17"/>
      <c r="P98" s="10">
        <f t="shared" si="9"/>
        <v>0</v>
      </c>
      <c r="Q98" s="11">
        <f t="shared" si="10"/>
        <v>0</v>
      </c>
      <c r="R98" s="18">
        <f t="shared" si="11"/>
        <v>1</v>
      </c>
    </row>
    <row r="99" spans="1:18" ht="31.5" customHeight="1" x14ac:dyDescent="0.85">
      <c r="A99" s="12" t="s">
        <v>213</v>
      </c>
      <c r="B99" s="8">
        <f>'[1]Term 2 Summary Sheet'!$B$99</f>
        <v>0</v>
      </c>
      <c r="C99" s="15"/>
      <c r="D99" s="15"/>
      <c r="E99" s="15"/>
      <c r="F99" s="16"/>
      <c r="G99" s="16"/>
      <c r="H99" s="16"/>
      <c r="I99" s="16"/>
      <c r="J99" s="16"/>
      <c r="K99" s="16"/>
      <c r="L99" s="16"/>
      <c r="M99" s="9">
        <f t="shared" si="7"/>
        <v>0</v>
      </c>
      <c r="N99" s="10">
        <f t="shared" si="8"/>
        <v>0</v>
      </c>
      <c r="O99" s="17"/>
      <c r="P99" s="10">
        <f t="shared" si="9"/>
        <v>0</v>
      </c>
      <c r="Q99" s="11">
        <f t="shared" si="10"/>
        <v>0</v>
      </c>
      <c r="R99" s="18">
        <f t="shared" si="11"/>
        <v>1</v>
      </c>
    </row>
    <row r="100" spans="1:18" ht="31.5" customHeight="1" x14ac:dyDescent="0.85">
      <c r="A100" s="12" t="s">
        <v>214</v>
      </c>
      <c r="B100" s="8">
        <f>'[1]Term 2 Summary Sheet'!$B$100</f>
        <v>0</v>
      </c>
      <c r="C100" s="15"/>
      <c r="D100" s="15"/>
      <c r="E100" s="15"/>
      <c r="F100" s="16"/>
      <c r="G100" s="16"/>
      <c r="H100" s="16"/>
      <c r="I100" s="16"/>
      <c r="J100" s="16"/>
      <c r="K100" s="16"/>
      <c r="L100" s="16"/>
      <c r="M100" s="9">
        <f t="shared" ref="M100:M131" si="12">SUM(C100:L100)</f>
        <v>0</v>
      </c>
      <c r="N100" s="10">
        <f t="shared" ref="N100:N104" si="13">M100/100 *50</f>
        <v>0</v>
      </c>
      <c r="O100" s="17"/>
      <c r="P100" s="10">
        <f t="shared" si="9"/>
        <v>0</v>
      </c>
      <c r="Q100" s="11">
        <f t="shared" si="10"/>
        <v>0</v>
      </c>
      <c r="R100" s="18">
        <f t="shared" si="11"/>
        <v>1</v>
      </c>
    </row>
    <row r="101" spans="1:18" ht="31.5" customHeight="1" x14ac:dyDescent="0.85">
      <c r="A101" s="12" t="s">
        <v>215</v>
      </c>
      <c r="B101" s="8">
        <f>'[1]Term 2 Summary Sheet'!$B$101</f>
        <v>0</v>
      </c>
      <c r="C101" s="15"/>
      <c r="D101" s="15"/>
      <c r="E101" s="15"/>
      <c r="F101" s="16"/>
      <c r="G101" s="16"/>
      <c r="H101" s="16"/>
      <c r="I101" s="16"/>
      <c r="J101" s="16"/>
      <c r="K101" s="16"/>
      <c r="L101" s="16"/>
      <c r="M101" s="9">
        <f t="shared" si="12"/>
        <v>0</v>
      </c>
      <c r="N101" s="10">
        <f t="shared" si="13"/>
        <v>0</v>
      </c>
      <c r="O101" s="17"/>
      <c r="P101" s="10">
        <f t="shared" si="9"/>
        <v>0</v>
      </c>
      <c r="Q101" s="11">
        <f t="shared" si="10"/>
        <v>0</v>
      </c>
      <c r="R101" s="18">
        <f t="shared" si="11"/>
        <v>1</v>
      </c>
    </row>
    <row r="102" spans="1:18" ht="31.5" customHeight="1" x14ac:dyDescent="0.85">
      <c r="A102" s="12" t="s">
        <v>216</v>
      </c>
      <c r="B102" s="8">
        <f>'[1]Term 2 Summary Sheet'!$B$102</f>
        <v>0</v>
      </c>
      <c r="C102" s="15"/>
      <c r="D102" s="15"/>
      <c r="E102" s="15"/>
      <c r="F102" s="16"/>
      <c r="G102" s="16"/>
      <c r="H102" s="16"/>
      <c r="I102" s="16"/>
      <c r="J102" s="16"/>
      <c r="K102" s="16"/>
      <c r="L102" s="16"/>
      <c r="M102" s="9">
        <f t="shared" si="12"/>
        <v>0</v>
      </c>
      <c r="N102" s="10">
        <f t="shared" si="13"/>
        <v>0</v>
      </c>
      <c r="O102" s="17"/>
      <c r="P102" s="10">
        <f t="shared" si="9"/>
        <v>0</v>
      </c>
      <c r="Q102" s="11">
        <f t="shared" si="10"/>
        <v>0</v>
      </c>
      <c r="R102" s="18">
        <f t="shared" si="11"/>
        <v>1</v>
      </c>
    </row>
    <row r="103" spans="1:18" ht="31.5" customHeight="1" x14ac:dyDescent="0.85">
      <c r="A103" s="12" t="s">
        <v>217</v>
      </c>
      <c r="B103" s="8">
        <f>'[1]Term 2 Summary Sheet'!$B$103</f>
        <v>0</v>
      </c>
      <c r="C103" s="15"/>
      <c r="D103" s="15"/>
      <c r="E103" s="15"/>
      <c r="F103" s="16"/>
      <c r="G103" s="16"/>
      <c r="H103" s="16"/>
      <c r="I103" s="16"/>
      <c r="J103" s="16"/>
      <c r="K103" s="16"/>
      <c r="L103" s="16"/>
      <c r="M103" s="9">
        <f t="shared" si="12"/>
        <v>0</v>
      </c>
      <c r="N103" s="10">
        <f t="shared" si="13"/>
        <v>0</v>
      </c>
      <c r="O103" s="17"/>
      <c r="P103" s="10">
        <f t="shared" si="9"/>
        <v>0</v>
      </c>
      <c r="Q103" s="11">
        <f t="shared" si="10"/>
        <v>0</v>
      </c>
      <c r="R103" s="18">
        <f t="shared" si="11"/>
        <v>1</v>
      </c>
    </row>
    <row r="104" spans="1:18" ht="31.5" customHeight="1" x14ac:dyDescent="0.85">
      <c r="A104" s="12" t="s">
        <v>218</v>
      </c>
      <c r="B104" s="8">
        <f>'[1]Term 2 Summary Sheet'!$B$104</f>
        <v>0</v>
      </c>
      <c r="C104" s="19"/>
      <c r="D104" s="19"/>
      <c r="E104" s="19"/>
      <c r="F104" s="20"/>
      <c r="G104" s="20"/>
      <c r="H104" s="20"/>
      <c r="I104" s="20"/>
      <c r="J104" s="20"/>
      <c r="K104" s="20"/>
      <c r="L104" s="20"/>
      <c r="M104" s="9">
        <f t="shared" si="12"/>
        <v>0</v>
      </c>
      <c r="N104" s="10">
        <f t="shared" si="13"/>
        <v>0</v>
      </c>
      <c r="O104" s="21"/>
      <c r="P104" s="22">
        <f t="shared" si="9"/>
        <v>0</v>
      </c>
      <c r="Q104" s="11">
        <f t="shared" si="10"/>
        <v>0</v>
      </c>
      <c r="R104" s="18">
        <f t="shared" si="11"/>
        <v>1</v>
      </c>
    </row>
    <row r="105" spans="1:18" ht="20.399999999999999" x14ac:dyDescent="0.7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 spans="1:18" ht="20.399999999999999" x14ac:dyDescent="0.7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</row>
    <row r="107" spans="1:18" ht="20.399999999999999" x14ac:dyDescent="0.7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8" ht="20.399999999999999" x14ac:dyDescent="0.7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</row>
  </sheetData>
  <sheetProtection selectLockedCells="1" sort="0" autoFilter="0"/>
  <mergeCells count="1">
    <mergeCell ref="A1:R1"/>
  </mergeCells>
  <phoneticPr fontId="12" type="noConversion"/>
  <dataValidations count="2">
    <dataValidation type="decimal" allowBlank="1" showInputMessage="1" showErrorMessage="1" sqref="O5:O104" xr:uid="{5E3DDA6E-6BD0-4AC9-A238-A35300340267}">
      <formula1>0</formula1>
      <formula2>100</formula2>
    </dataValidation>
    <dataValidation type="decimal" allowBlank="1" showInputMessage="1" showErrorMessage="1" sqref="C5:L104" xr:uid="{01B1EB1D-A9EE-4F02-8670-BD8FC9152221}">
      <formula1>0</formula1>
      <formula2>10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C5C4D-4E8F-44EA-B5CD-BB89B9E71140}">
  <sheetPr>
    <tabColor rgb="FF00B0F0"/>
  </sheetPr>
  <dimension ref="A1:R108"/>
  <sheetViews>
    <sheetView zoomScale="80" zoomScaleNormal="80" workbookViewId="0">
      <pane xSplit="2" ySplit="3" topLeftCell="C4" activePane="bottomRight" state="frozen"/>
      <selection pane="topRight" activeCell="P3" sqref="P3"/>
      <selection pane="bottomLeft" activeCell="P3" sqref="P3"/>
      <selection pane="bottomRight" activeCell="C5" sqref="C5"/>
    </sheetView>
  </sheetViews>
  <sheetFormatPr defaultRowHeight="14.4" x14ac:dyDescent="0.3"/>
  <cols>
    <col min="1" max="1" width="13.88671875" style="2" customWidth="1"/>
    <col min="2" max="2" width="71.44140625" bestFit="1" customWidth="1"/>
    <col min="3" max="7" width="20.6640625" customWidth="1"/>
    <col min="8" max="12" width="25.109375" customWidth="1"/>
    <col min="13" max="13" width="24.44140625" customWidth="1"/>
    <col min="14" max="14" width="25.88671875" customWidth="1"/>
    <col min="15" max="15" width="21.109375" bestFit="1" customWidth="1"/>
    <col min="16" max="16" width="21.109375" customWidth="1"/>
    <col min="17" max="17" width="23.44140625" bestFit="1" customWidth="1"/>
    <col min="18" max="18" width="21.109375" customWidth="1"/>
  </cols>
  <sheetData>
    <row r="1" spans="1:18" ht="60" customHeight="1" x14ac:dyDescent="1.8">
      <c r="A1" s="31" t="s">
        <v>320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31.5" customHeight="1" x14ac:dyDescent="0.35">
      <c r="A2" s="4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8" s="1" customFormat="1" ht="48" customHeight="1" thickBot="1" x14ac:dyDescent="0.35">
      <c r="A3" s="23" t="s">
        <v>0</v>
      </c>
      <c r="B3" s="23" t="s">
        <v>1</v>
      </c>
      <c r="C3" s="24" t="s">
        <v>2</v>
      </c>
      <c r="D3" s="24" t="s">
        <v>3</v>
      </c>
      <c r="E3" s="24" t="s">
        <v>4</v>
      </c>
      <c r="F3" s="25" t="s">
        <v>5</v>
      </c>
      <c r="G3" s="25" t="s">
        <v>6</v>
      </c>
      <c r="H3" s="25" t="s">
        <v>7</v>
      </c>
      <c r="I3" s="25" t="s">
        <v>8</v>
      </c>
      <c r="J3" s="25" t="s">
        <v>9</v>
      </c>
      <c r="K3" s="25" t="s">
        <v>10</v>
      </c>
      <c r="L3" s="25" t="s">
        <v>11</v>
      </c>
      <c r="M3" s="26" t="s">
        <v>12</v>
      </c>
      <c r="N3" s="26" t="s">
        <v>13</v>
      </c>
      <c r="O3" s="26" t="s">
        <v>14</v>
      </c>
      <c r="P3" s="26" t="s">
        <v>15</v>
      </c>
      <c r="Q3" s="26" t="s">
        <v>16</v>
      </c>
      <c r="R3" s="26" t="s">
        <v>17</v>
      </c>
    </row>
    <row r="4" spans="1:18" ht="31.5" customHeight="1" x14ac:dyDescent="0.85">
      <c r="A4" s="13"/>
      <c r="B4" s="14"/>
      <c r="C4" s="18">
        <v>10</v>
      </c>
      <c r="D4" s="18">
        <v>10</v>
      </c>
      <c r="E4" s="18">
        <v>10</v>
      </c>
      <c r="F4" s="18">
        <v>10</v>
      </c>
      <c r="G4" s="18">
        <v>10</v>
      </c>
      <c r="H4" s="18">
        <v>10</v>
      </c>
      <c r="I4" s="18">
        <v>10</v>
      </c>
      <c r="J4" s="18">
        <v>10</v>
      </c>
      <c r="K4" s="18">
        <v>10</v>
      </c>
      <c r="L4" s="18">
        <v>10</v>
      </c>
      <c r="M4" s="9">
        <f t="shared" ref="M4:M35" si="0">SUM(C4:L4)</f>
        <v>100</v>
      </c>
      <c r="N4" s="10">
        <f t="shared" ref="N4:N35" si="1">M4/100 *50</f>
        <v>50</v>
      </c>
      <c r="O4" s="9">
        <v>100</v>
      </c>
      <c r="P4" s="10">
        <f t="shared" ref="P4:P67" si="2">O4/100 *50</f>
        <v>50</v>
      </c>
      <c r="Q4" s="11">
        <f t="shared" ref="Q4:Q67" si="3">SUM(N4,P4)</f>
        <v>100</v>
      </c>
      <c r="R4" s="11"/>
    </row>
    <row r="5" spans="1:18" ht="31.5" customHeight="1" x14ac:dyDescent="0.85">
      <c r="A5" s="12" t="s">
        <v>220</v>
      </c>
      <c r="B5" s="8">
        <f>'[1]Term 3 Summary Sheet'!$B$5</f>
        <v>0</v>
      </c>
      <c r="C5" s="15"/>
      <c r="D5" s="15"/>
      <c r="E5" s="15"/>
      <c r="F5" s="16"/>
      <c r="G5" s="16"/>
      <c r="H5" s="16"/>
      <c r="I5" s="16"/>
      <c r="J5" s="16"/>
      <c r="K5" s="16"/>
      <c r="L5" s="16"/>
      <c r="M5" s="9">
        <f t="shared" si="0"/>
        <v>0</v>
      </c>
      <c r="N5" s="10">
        <f t="shared" si="1"/>
        <v>0</v>
      </c>
      <c r="O5" s="17"/>
      <c r="P5" s="10">
        <f t="shared" si="2"/>
        <v>0</v>
      </c>
      <c r="Q5" s="11">
        <f t="shared" si="3"/>
        <v>0</v>
      </c>
      <c r="R5" s="18">
        <f>_xlfn.RANK.EQ(Q5,$Q$5:$Q$104,)</f>
        <v>1</v>
      </c>
    </row>
    <row r="6" spans="1:18" ht="31.5" customHeight="1" x14ac:dyDescent="0.85">
      <c r="A6" s="12" t="s">
        <v>221</v>
      </c>
      <c r="B6" s="8">
        <f>'[1]Term 3 Summary Sheet'!$B$6</f>
        <v>0</v>
      </c>
      <c r="C6" s="15"/>
      <c r="D6" s="15"/>
      <c r="E6" s="15"/>
      <c r="F6" s="16"/>
      <c r="G6" s="16"/>
      <c r="H6" s="16"/>
      <c r="I6" s="16"/>
      <c r="J6" s="16"/>
      <c r="K6" s="16"/>
      <c r="L6" s="16"/>
      <c r="M6" s="9">
        <f t="shared" si="0"/>
        <v>0</v>
      </c>
      <c r="N6" s="10">
        <f t="shared" si="1"/>
        <v>0</v>
      </c>
      <c r="O6" s="17"/>
      <c r="P6" s="10">
        <f t="shared" si="2"/>
        <v>0</v>
      </c>
      <c r="Q6" s="11">
        <f t="shared" si="3"/>
        <v>0</v>
      </c>
      <c r="R6" s="18">
        <f t="shared" ref="R6:R69" si="4">_xlfn.RANK.EQ(Q6,$Q$5:$Q$104,)</f>
        <v>1</v>
      </c>
    </row>
    <row r="7" spans="1:18" ht="31.5" customHeight="1" x14ac:dyDescent="0.85">
      <c r="A7" s="12" t="s">
        <v>222</v>
      </c>
      <c r="B7" s="8">
        <f>'[1]Term 3 Summary Sheet'!$B$7</f>
        <v>0</v>
      </c>
      <c r="C7" s="15"/>
      <c r="D7" s="15"/>
      <c r="E7" s="15"/>
      <c r="F7" s="16"/>
      <c r="G7" s="16"/>
      <c r="H7" s="16"/>
      <c r="I7" s="16"/>
      <c r="J7" s="16"/>
      <c r="K7" s="16"/>
      <c r="L7" s="16"/>
      <c r="M7" s="9">
        <f t="shared" si="0"/>
        <v>0</v>
      </c>
      <c r="N7" s="10">
        <f t="shared" si="1"/>
        <v>0</v>
      </c>
      <c r="O7" s="17"/>
      <c r="P7" s="10">
        <f t="shared" si="2"/>
        <v>0</v>
      </c>
      <c r="Q7" s="11">
        <f t="shared" si="3"/>
        <v>0</v>
      </c>
      <c r="R7" s="18">
        <f t="shared" si="4"/>
        <v>1</v>
      </c>
    </row>
    <row r="8" spans="1:18" ht="31.5" customHeight="1" x14ac:dyDescent="0.85">
      <c r="A8" s="12" t="s">
        <v>223</v>
      </c>
      <c r="B8" s="8">
        <f>'[1]Term 3 Summary Sheet'!$B$8</f>
        <v>0</v>
      </c>
      <c r="C8" s="15"/>
      <c r="D8" s="15"/>
      <c r="E8" s="15"/>
      <c r="F8" s="16"/>
      <c r="G8" s="16"/>
      <c r="H8" s="16"/>
      <c r="I8" s="16"/>
      <c r="J8" s="16"/>
      <c r="K8" s="16"/>
      <c r="L8" s="16"/>
      <c r="M8" s="9">
        <f t="shared" si="0"/>
        <v>0</v>
      </c>
      <c r="N8" s="10">
        <f t="shared" si="1"/>
        <v>0</v>
      </c>
      <c r="O8" s="17"/>
      <c r="P8" s="10">
        <f t="shared" si="2"/>
        <v>0</v>
      </c>
      <c r="Q8" s="11">
        <f t="shared" si="3"/>
        <v>0</v>
      </c>
      <c r="R8" s="18">
        <f t="shared" si="4"/>
        <v>1</v>
      </c>
    </row>
    <row r="9" spans="1:18" ht="31.5" customHeight="1" x14ac:dyDescent="0.85">
      <c r="A9" s="12" t="s">
        <v>224</v>
      </c>
      <c r="B9" s="8">
        <f>'[1]Term 3 Summary Sheet'!$B$9</f>
        <v>0</v>
      </c>
      <c r="C9" s="15"/>
      <c r="D9" s="15"/>
      <c r="E9" s="15"/>
      <c r="F9" s="16"/>
      <c r="G9" s="16"/>
      <c r="H9" s="16"/>
      <c r="I9" s="16"/>
      <c r="J9" s="16"/>
      <c r="K9" s="16"/>
      <c r="L9" s="16"/>
      <c r="M9" s="9">
        <f t="shared" si="0"/>
        <v>0</v>
      </c>
      <c r="N9" s="10">
        <f t="shared" si="1"/>
        <v>0</v>
      </c>
      <c r="O9" s="17"/>
      <c r="P9" s="10">
        <f t="shared" si="2"/>
        <v>0</v>
      </c>
      <c r="Q9" s="11">
        <f t="shared" si="3"/>
        <v>0</v>
      </c>
      <c r="R9" s="18">
        <f t="shared" si="4"/>
        <v>1</v>
      </c>
    </row>
    <row r="10" spans="1:18" ht="31.5" customHeight="1" x14ac:dyDescent="0.85">
      <c r="A10" s="12" t="s">
        <v>225</v>
      </c>
      <c r="B10" s="8">
        <f>'[1]Term 3 Summary Sheet'!$B$10</f>
        <v>0</v>
      </c>
      <c r="C10" s="15"/>
      <c r="D10" s="15"/>
      <c r="E10" s="15"/>
      <c r="F10" s="16"/>
      <c r="G10" s="16"/>
      <c r="H10" s="16"/>
      <c r="I10" s="16"/>
      <c r="J10" s="16"/>
      <c r="K10" s="16"/>
      <c r="L10" s="16"/>
      <c r="M10" s="9">
        <f t="shared" si="0"/>
        <v>0</v>
      </c>
      <c r="N10" s="10">
        <f t="shared" si="1"/>
        <v>0</v>
      </c>
      <c r="O10" s="17"/>
      <c r="P10" s="10">
        <f t="shared" si="2"/>
        <v>0</v>
      </c>
      <c r="Q10" s="11">
        <f t="shared" si="3"/>
        <v>0</v>
      </c>
      <c r="R10" s="18">
        <f t="shared" si="4"/>
        <v>1</v>
      </c>
    </row>
    <row r="11" spans="1:18" ht="31.5" customHeight="1" x14ac:dyDescent="0.85">
      <c r="A11" s="12" t="s">
        <v>226</v>
      </c>
      <c r="B11" s="8">
        <f>'[1]Term 3 Summary Sheet'!$B$11</f>
        <v>0</v>
      </c>
      <c r="C11" s="15"/>
      <c r="D11" s="15"/>
      <c r="E11" s="15"/>
      <c r="F11" s="16"/>
      <c r="G11" s="16"/>
      <c r="H11" s="16"/>
      <c r="I11" s="16"/>
      <c r="J11" s="16"/>
      <c r="K11" s="16"/>
      <c r="L11" s="16"/>
      <c r="M11" s="9">
        <f t="shared" si="0"/>
        <v>0</v>
      </c>
      <c r="N11" s="10">
        <f t="shared" si="1"/>
        <v>0</v>
      </c>
      <c r="O11" s="17"/>
      <c r="P11" s="10">
        <f t="shared" si="2"/>
        <v>0</v>
      </c>
      <c r="Q11" s="11">
        <f t="shared" si="3"/>
        <v>0</v>
      </c>
      <c r="R11" s="18">
        <f t="shared" si="4"/>
        <v>1</v>
      </c>
    </row>
    <row r="12" spans="1:18" ht="31.5" customHeight="1" x14ac:dyDescent="0.85">
      <c r="A12" s="12" t="s">
        <v>227</v>
      </c>
      <c r="B12" s="8">
        <f>'[1]Term 3 Summary Sheet'!$B$12</f>
        <v>0</v>
      </c>
      <c r="C12" s="15"/>
      <c r="D12" s="15"/>
      <c r="E12" s="15"/>
      <c r="F12" s="16"/>
      <c r="G12" s="16"/>
      <c r="H12" s="16"/>
      <c r="I12" s="16"/>
      <c r="J12" s="16"/>
      <c r="K12" s="16"/>
      <c r="L12" s="16"/>
      <c r="M12" s="9">
        <f t="shared" si="0"/>
        <v>0</v>
      </c>
      <c r="N12" s="10">
        <f t="shared" si="1"/>
        <v>0</v>
      </c>
      <c r="O12" s="17"/>
      <c r="P12" s="10">
        <f t="shared" si="2"/>
        <v>0</v>
      </c>
      <c r="Q12" s="11">
        <f t="shared" si="3"/>
        <v>0</v>
      </c>
      <c r="R12" s="18">
        <f t="shared" si="4"/>
        <v>1</v>
      </c>
    </row>
    <row r="13" spans="1:18" ht="31.5" customHeight="1" x14ac:dyDescent="0.85">
      <c r="A13" s="12" t="s">
        <v>228</v>
      </c>
      <c r="B13" s="8">
        <f>'[1]Term 3 Summary Sheet'!$B$13</f>
        <v>0</v>
      </c>
      <c r="C13" s="15"/>
      <c r="D13" s="15"/>
      <c r="E13" s="15"/>
      <c r="F13" s="16"/>
      <c r="G13" s="16"/>
      <c r="H13" s="16"/>
      <c r="I13" s="16"/>
      <c r="J13" s="16"/>
      <c r="K13" s="16"/>
      <c r="L13" s="16"/>
      <c r="M13" s="9">
        <f t="shared" si="0"/>
        <v>0</v>
      </c>
      <c r="N13" s="10">
        <f t="shared" si="1"/>
        <v>0</v>
      </c>
      <c r="O13" s="17"/>
      <c r="P13" s="10">
        <f t="shared" si="2"/>
        <v>0</v>
      </c>
      <c r="Q13" s="11">
        <f t="shared" si="3"/>
        <v>0</v>
      </c>
      <c r="R13" s="18">
        <f t="shared" si="4"/>
        <v>1</v>
      </c>
    </row>
    <row r="14" spans="1:18" ht="31.5" customHeight="1" x14ac:dyDescent="0.85">
      <c r="A14" s="12" t="s">
        <v>229</v>
      </c>
      <c r="B14" s="8">
        <f>'[1]Term 3 Summary Sheet'!$B$14</f>
        <v>0</v>
      </c>
      <c r="C14" s="15"/>
      <c r="D14" s="15"/>
      <c r="E14" s="15"/>
      <c r="F14" s="16"/>
      <c r="G14" s="16"/>
      <c r="H14" s="16"/>
      <c r="I14" s="16"/>
      <c r="J14" s="16"/>
      <c r="K14" s="16"/>
      <c r="L14" s="16"/>
      <c r="M14" s="9">
        <f t="shared" si="0"/>
        <v>0</v>
      </c>
      <c r="N14" s="10">
        <f t="shared" si="1"/>
        <v>0</v>
      </c>
      <c r="O14" s="17"/>
      <c r="P14" s="10">
        <f t="shared" si="2"/>
        <v>0</v>
      </c>
      <c r="Q14" s="11">
        <f t="shared" si="3"/>
        <v>0</v>
      </c>
      <c r="R14" s="18">
        <f t="shared" si="4"/>
        <v>1</v>
      </c>
    </row>
    <row r="15" spans="1:18" ht="31.5" customHeight="1" x14ac:dyDescent="0.85">
      <c r="A15" s="12" t="s">
        <v>230</v>
      </c>
      <c r="B15" s="8">
        <f>'[1]Term 3 Summary Sheet'!$B$15</f>
        <v>0</v>
      </c>
      <c r="C15" s="15"/>
      <c r="D15" s="15"/>
      <c r="E15" s="15"/>
      <c r="F15" s="16"/>
      <c r="G15" s="16"/>
      <c r="H15" s="16"/>
      <c r="I15" s="16"/>
      <c r="J15" s="16"/>
      <c r="K15" s="16"/>
      <c r="L15" s="16"/>
      <c r="M15" s="9">
        <f t="shared" si="0"/>
        <v>0</v>
      </c>
      <c r="N15" s="10">
        <f t="shared" si="1"/>
        <v>0</v>
      </c>
      <c r="O15" s="17"/>
      <c r="P15" s="10">
        <f t="shared" si="2"/>
        <v>0</v>
      </c>
      <c r="Q15" s="11">
        <f t="shared" si="3"/>
        <v>0</v>
      </c>
      <c r="R15" s="18">
        <f t="shared" si="4"/>
        <v>1</v>
      </c>
    </row>
    <row r="16" spans="1:18" ht="31.5" customHeight="1" x14ac:dyDescent="0.85">
      <c r="A16" s="12" t="s">
        <v>231</v>
      </c>
      <c r="B16" s="8">
        <f>'[1]Term 3 Summary Sheet'!$B$16</f>
        <v>0</v>
      </c>
      <c r="C16" s="15"/>
      <c r="D16" s="15"/>
      <c r="E16" s="15"/>
      <c r="F16" s="16"/>
      <c r="G16" s="16"/>
      <c r="H16" s="16"/>
      <c r="I16" s="16"/>
      <c r="J16" s="16"/>
      <c r="K16" s="16"/>
      <c r="L16" s="16"/>
      <c r="M16" s="9">
        <f t="shared" si="0"/>
        <v>0</v>
      </c>
      <c r="N16" s="10">
        <f t="shared" si="1"/>
        <v>0</v>
      </c>
      <c r="O16" s="17"/>
      <c r="P16" s="10">
        <f t="shared" si="2"/>
        <v>0</v>
      </c>
      <c r="Q16" s="11">
        <f t="shared" si="3"/>
        <v>0</v>
      </c>
      <c r="R16" s="18">
        <f t="shared" si="4"/>
        <v>1</v>
      </c>
    </row>
    <row r="17" spans="1:18" ht="31.5" customHeight="1" x14ac:dyDescent="0.85">
      <c r="A17" s="12" t="s">
        <v>232</v>
      </c>
      <c r="B17" s="8">
        <f>'[1]Term 3 Summary Sheet'!$B$17</f>
        <v>0</v>
      </c>
      <c r="C17" s="15"/>
      <c r="D17" s="15"/>
      <c r="E17" s="15"/>
      <c r="F17" s="16"/>
      <c r="G17" s="16"/>
      <c r="H17" s="16"/>
      <c r="I17" s="16"/>
      <c r="J17" s="16"/>
      <c r="K17" s="16"/>
      <c r="L17" s="16"/>
      <c r="M17" s="9">
        <f t="shared" si="0"/>
        <v>0</v>
      </c>
      <c r="N17" s="10">
        <f t="shared" si="1"/>
        <v>0</v>
      </c>
      <c r="O17" s="17"/>
      <c r="P17" s="10">
        <f t="shared" si="2"/>
        <v>0</v>
      </c>
      <c r="Q17" s="11">
        <f t="shared" si="3"/>
        <v>0</v>
      </c>
      <c r="R17" s="18">
        <f t="shared" si="4"/>
        <v>1</v>
      </c>
    </row>
    <row r="18" spans="1:18" ht="31.5" customHeight="1" x14ac:dyDescent="0.85">
      <c r="A18" s="12" t="s">
        <v>233</v>
      </c>
      <c r="B18" s="8">
        <f>'[1]Term 3 Summary Sheet'!$B$18</f>
        <v>0</v>
      </c>
      <c r="C18" s="15"/>
      <c r="D18" s="15"/>
      <c r="E18" s="15"/>
      <c r="F18" s="16"/>
      <c r="G18" s="16"/>
      <c r="H18" s="16"/>
      <c r="I18" s="16"/>
      <c r="J18" s="16"/>
      <c r="K18" s="16"/>
      <c r="L18" s="16"/>
      <c r="M18" s="9">
        <f t="shared" si="0"/>
        <v>0</v>
      </c>
      <c r="N18" s="10">
        <f t="shared" si="1"/>
        <v>0</v>
      </c>
      <c r="O18" s="17"/>
      <c r="P18" s="10">
        <f t="shared" si="2"/>
        <v>0</v>
      </c>
      <c r="Q18" s="11">
        <f t="shared" si="3"/>
        <v>0</v>
      </c>
      <c r="R18" s="18">
        <f t="shared" si="4"/>
        <v>1</v>
      </c>
    </row>
    <row r="19" spans="1:18" ht="31.5" customHeight="1" x14ac:dyDescent="0.85">
      <c r="A19" s="12" t="s">
        <v>234</v>
      </c>
      <c r="B19" s="8">
        <f>'[1]Term 3 Summary Sheet'!$B$19</f>
        <v>0</v>
      </c>
      <c r="C19" s="15"/>
      <c r="D19" s="15"/>
      <c r="E19" s="15"/>
      <c r="F19" s="16"/>
      <c r="G19" s="16"/>
      <c r="H19" s="16"/>
      <c r="I19" s="16"/>
      <c r="J19" s="16"/>
      <c r="K19" s="16"/>
      <c r="L19" s="16"/>
      <c r="M19" s="9">
        <f t="shared" si="0"/>
        <v>0</v>
      </c>
      <c r="N19" s="10">
        <f t="shared" si="1"/>
        <v>0</v>
      </c>
      <c r="O19" s="17"/>
      <c r="P19" s="10">
        <f t="shared" si="2"/>
        <v>0</v>
      </c>
      <c r="Q19" s="11">
        <f t="shared" si="3"/>
        <v>0</v>
      </c>
      <c r="R19" s="18">
        <f t="shared" si="4"/>
        <v>1</v>
      </c>
    </row>
    <row r="20" spans="1:18" ht="31.5" customHeight="1" x14ac:dyDescent="0.85">
      <c r="A20" s="12" t="s">
        <v>235</v>
      </c>
      <c r="B20" s="8">
        <f>'[1]Term 3 Summary Sheet'!$B$20</f>
        <v>0</v>
      </c>
      <c r="C20" s="15"/>
      <c r="D20" s="15"/>
      <c r="E20" s="15"/>
      <c r="F20" s="16"/>
      <c r="G20" s="16"/>
      <c r="H20" s="16"/>
      <c r="I20" s="16"/>
      <c r="J20" s="16"/>
      <c r="K20" s="16"/>
      <c r="L20" s="16"/>
      <c r="M20" s="9">
        <f t="shared" si="0"/>
        <v>0</v>
      </c>
      <c r="N20" s="10">
        <f t="shared" si="1"/>
        <v>0</v>
      </c>
      <c r="O20" s="17"/>
      <c r="P20" s="10">
        <f t="shared" si="2"/>
        <v>0</v>
      </c>
      <c r="Q20" s="11">
        <f t="shared" si="3"/>
        <v>0</v>
      </c>
      <c r="R20" s="18">
        <f t="shared" si="4"/>
        <v>1</v>
      </c>
    </row>
    <row r="21" spans="1:18" ht="31.5" customHeight="1" x14ac:dyDescent="0.85">
      <c r="A21" s="12" t="s">
        <v>236</v>
      </c>
      <c r="B21" s="8">
        <f>'[1]Term 3 Summary Sheet'!$B$21</f>
        <v>0</v>
      </c>
      <c r="C21" s="15"/>
      <c r="D21" s="15"/>
      <c r="E21" s="15"/>
      <c r="F21" s="16"/>
      <c r="G21" s="16"/>
      <c r="H21" s="16"/>
      <c r="I21" s="16"/>
      <c r="J21" s="16"/>
      <c r="K21" s="16"/>
      <c r="L21" s="16"/>
      <c r="M21" s="9">
        <f t="shared" si="0"/>
        <v>0</v>
      </c>
      <c r="N21" s="10">
        <f t="shared" si="1"/>
        <v>0</v>
      </c>
      <c r="O21" s="17"/>
      <c r="P21" s="10">
        <f t="shared" si="2"/>
        <v>0</v>
      </c>
      <c r="Q21" s="11">
        <f t="shared" si="3"/>
        <v>0</v>
      </c>
      <c r="R21" s="18">
        <f t="shared" si="4"/>
        <v>1</v>
      </c>
    </row>
    <row r="22" spans="1:18" ht="31.5" customHeight="1" x14ac:dyDescent="0.85">
      <c r="A22" s="12" t="s">
        <v>237</v>
      </c>
      <c r="B22" s="8">
        <f>'[1]Term 3 Summary Sheet'!$B$22</f>
        <v>0</v>
      </c>
      <c r="C22" s="15"/>
      <c r="D22" s="15"/>
      <c r="E22" s="15"/>
      <c r="F22" s="16"/>
      <c r="G22" s="16"/>
      <c r="H22" s="16"/>
      <c r="I22" s="16"/>
      <c r="J22" s="16"/>
      <c r="K22" s="16"/>
      <c r="L22" s="16"/>
      <c r="M22" s="9">
        <f t="shared" si="0"/>
        <v>0</v>
      </c>
      <c r="N22" s="10">
        <f t="shared" si="1"/>
        <v>0</v>
      </c>
      <c r="O22" s="17"/>
      <c r="P22" s="10">
        <f t="shared" si="2"/>
        <v>0</v>
      </c>
      <c r="Q22" s="11">
        <f t="shared" si="3"/>
        <v>0</v>
      </c>
      <c r="R22" s="18">
        <f t="shared" si="4"/>
        <v>1</v>
      </c>
    </row>
    <row r="23" spans="1:18" ht="31.5" customHeight="1" x14ac:dyDescent="0.85">
      <c r="A23" s="12" t="s">
        <v>238</v>
      </c>
      <c r="B23" s="8">
        <f>'[1]Term 3 Summary Sheet'!$B$23</f>
        <v>0</v>
      </c>
      <c r="C23" s="15"/>
      <c r="D23" s="15"/>
      <c r="E23" s="15"/>
      <c r="F23" s="16"/>
      <c r="G23" s="16"/>
      <c r="H23" s="16"/>
      <c r="I23" s="16"/>
      <c r="J23" s="16"/>
      <c r="K23" s="16"/>
      <c r="L23" s="16"/>
      <c r="M23" s="9">
        <f t="shared" si="0"/>
        <v>0</v>
      </c>
      <c r="N23" s="10">
        <f t="shared" si="1"/>
        <v>0</v>
      </c>
      <c r="O23" s="17"/>
      <c r="P23" s="10">
        <f t="shared" si="2"/>
        <v>0</v>
      </c>
      <c r="Q23" s="11">
        <f t="shared" si="3"/>
        <v>0</v>
      </c>
      <c r="R23" s="18">
        <f t="shared" si="4"/>
        <v>1</v>
      </c>
    </row>
    <row r="24" spans="1:18" ht="31.5" customHeight="1" x14ac:dyDescent="0.85">
      <c r="A24" s="12" t="s">
        <v>239</v>
      </c>
      <c r="B24" s="8">
        <f>'[1]Term 3 Summary Sheet'!$B$24</f>
        <v>0</v>
      </c>
      <c r="C24" s="15"/>
      <c r="D24" s="15"/>
      <c r="E24" s="15"/>
      <c r="F24" s="16"/>
      <c r="G24" s="16"/>
      <c r="H24" s="16"/>
      <c r="I24" s="16"/>
      <c r="J24" s="16"/>
      <c r="K24" s="16"/>
      <c r="L24" s="16"/>
      <c r="M24" s="9">
        <f t="shared" si="0"/>
        <v>0</v>
      </c>
      <c r="N24" s="10">
        <f t="shared" si="1"/>
        <v>0</v>
      </c>
      <c r="O24" s="17"/>
      <c r="P24" s="10">
        <f t="shared" si="2"/>
        <v>0</v>
      </c>
      <c r="Q24" s="11">
        <f t="shared" si="3"/>
        <v>0</v>
      </c>
      <c r="R24" s="18">
        <f t="shared" si="4"/>
        <v>1</v>
      </c>
    </row>
    <row r="25" spans="1:18" ht="31.5" customHeight="1" x14ac:dyDescent="0.85">
      <c r="A25" s="12" t="s">
        <v>240</v>
      </c>
      <c r="B25" s="8">
        <f>'[1]Term 3 Summary Sheet'!$B$25</f>
        <v>0</v>
      </c>
      <c r="C25" s="15"/>
      <c r="D25" s="15"/>
      <c r="E25" s="15"/>
      <c r="F25" s="16"/>
      <c r="G25" s="16"/>
      <c r="H25" s="16"/>
      <c r="I25" s="16"/>
      <c r="J25" s="16"/>
      <c r="K25" s="16"/>
      <c r="L25" s="16"/>
      <c r="M25" s="9">
        <f t="shared" si="0"/>
        <v>0</v>
      </c>
      <c r="N25" s="10">
        <f t="shared" si="1"/>
        <v>0</v>
      </c>
      <c r="O25" s="17"/>
      <c r="P25" s="10">
        <f t="shared" si="2"/>
        <v>0</v>
      </c>
      <c r="Q25" s="11">
        <f t="shared" si="3"/>
        <v>0</v>
      </c>
      <c r="R25" s="18">
        <f t="shared" si="4"/>
        <v>1</v>
      </c>
    </row>
    <row r="26" spans="1:18" ht="31.5" customHeight="1" x14ac:dyDescent="0.85">
      <c r="A26" s="12" t="s">
        <v>241</v>
      </c>
      <c r="B26" s="8">
        <f>'[1]Term 3 Summary Sheet'!$B$26</f>
        <v>0</v>
      </c>
      <c r="C26" s="15"/>
      <c r="D26" s="15"/>
      <c r="E26" s="15"/>
      <c r="F26" s="16"/>
      <c r="G26" s="16"/>
      <c r="H26" s="16"/>
      <c r="I26" s="16"/>
      <c r="J26" s="16"/>
      <c r="K26" s="16"/>
      <c r="L26" s="16"/>
      <c r="M26" s="9">
        <f t="shared" si="0"/>
        <v>0</v>
      </c>
      <c r="N26" s="10">
        <f t="shared" si="1"/>
        <v>0</v>
      </c>
      <c r="O26" s="17"/>
      <c r="P26" s="10">
        <f t="shared" si="2"/>
        <v>0</v>
      </c>
      <c r="Q26" s="11">
        <f t="shared" si="3"/>
        <v>0</v>
      </c>
      <c r="R26" s="18">
        <f t="shared" si="4"/>
        <v>1</v>
      </c>
    </row>
    <row r="27" spans="1:18" ht="31.5" customHeight="1" x14ac:dyDescent="0.85">
      <c r="A27" s="12" t="s">
        <v>242</v>
      </c>
      <c r="B27" s="8">
        <f>'[1]Term 3 Summary Sheet'!$B$27</f>
        <v>0</v>
      </c>
      <c r="C27" s="15"/>
      <c r="D27" s="15"/>
      <c r="E27" s="15"/>
      <c r="F27" s="16"/>
      <c r="G27" s="16"/>
      <c r="H27" s="16"/>
      <c r="I27" s="16"/>
      <c r="J27" s="16"/>
      <c r="K27" s="16"/>
      <c r="L27" s="16"/>
      <c r="M27" s="9">
        <f t="shared" si="0"/>
        <v>0</v>
      </c>
      <c r="N27" s="10">
        <f t="shared" si="1"/>
        <v>0</v>
      </c>
      <c r="O27" s="17"/>
      <c r="P27" s="10">
        <f t="shared" si="2"/>
        <v>0</v>
      </c>
      <c r="Q27" s="11">
        <f t="shared" si="3"/>
        <v>0</v>
      </c>
      <c r="R27" s="18">
        <f t="shared" si="4"/>
        <v>1</v>
      </c>
    </row>
    <row r="28" spans="1:18" ht="31.5" customHeight="1" x14ac:dyDescent="0.85">
      <c r="A28" s="12" t="s">
        <v>243</v>
      </c>
      <c r="B28" s="8">
        <f>'[1]Term 3 Summary Sheet'!$B$28</f>
        <v>0</v>
      </c>
      <c r="C28" s="15"/>
      <c r="D28" s="15"/>
      <c r="E28" s="15"/>
      <c r="F28" s="16"/>
      <c r="G28" s="16"/>
      <c r="H28" s="16"/>
      <c r="I28" s="16"/>
      <c r="J28" s="16"/>
      <c r="K28" s="16"/>
      <c r="L28" s="16"/>
      <c r="M28" s="9">
        <f t="shared" si="0"/>
        <v>0</v>
      </c>
      <c r="N28" s="10">
        <f t="shared" si="1"/>
        <v>0</v>
      </c>
      <c r="O28" s="17"/>
      <c r="P28" s="10">
        <f t="shared" si="2"/>
        <v>0</v>
      </c>
      <c r="Q28" s="11">
        <f t="shared" si="3"/>
        <v>0</v>
      </c>
      <c r="R28" s="18">
        <f t="shared" si="4"/>
        <v>1</v>
      </c>
    </row>
    <row r="29" spans="1:18" ht="31.5" customHeight="1" x14ac:dyDescent="0.85">
      <c r="A29" s="12" t="s">
        <v>244</v>
      </c>
      <c r="B29" s="8">
        <f>'[1]Term 3 Summary Sheet'!$B$29</f>
        <v>0</v>
      </c>
      <c r="C29" s="15"/>
      <c r="D29" s="15"/>
      <c r="E29" s="15"/>
      <c r="F29" s="16"/>
      <c r="G29" s="16"/>
      <c r="H29" s="16"/>
      <c r="I29" s="16"/>
      <c r="J29" s="16"/>
      <c r="K29" s="16"/>
      <c r="L29" s="16"/>
      <c r="M29" s="9">
        <f t="shared" si="0"/>
        <v>0</v>
      </c>
      <c r="N29" s="10">
        <f t="shared" si="1"/>
        <v>0</v>
      </c>
      <c r="O29" s="17"/>
      <c r="P29" s="10">
        <f t="shared" si="2"/>
        <v>0</v>
      </c>
      <c r="Q29" s="11">
        <f t="shared" si="3"/>
        <v>0</v>
      </c>
      <c r="R29" s="18">
        <f t="shared" si="4"/>
        <v>1</v>
      </c>
    </row>
    <row r="30" spans="1:18" ht="31.5" customHeight="1" x14ac:dyDescent="0.85">
      <c r="A30" s="12" t="s">
        <v>245</v>
      </c>
      <c r="B30" s="8">
        <f>'[1]Term 3 Summary Sheet'!$B$30</f>
        <v>0</v>
      </c>
      <c r="C30" s="15"/>
      <c r="D30" s="15"/>
      <c r="E30" s="15"/>
      <c r="F30" s="16"/>
      <c r="G30" s="16"/>
      <c r="H30" s="16"/>
      <c r="I30" s="16"/>
      <c r="J30" s="16"/>
      <c r="K30" s="16"/>
      <c r="L30" s="16"/>
      <c r="M30" s="9">
        <f t="shared" si="0"/>
        <v>0</v>
      </c>
      <c r="N30" s="10">
        <f t="shared" si="1"/>
        <v>0</v>
      </c>
      <c r="O30" s="17"/>
      <c r="P30" s="10">
        <f t="shared" si="2"/>
        <v>0</v>
      </c>
      <c r="Q30" s="11">
        <f t="shared" si="3"/>
        <v>0</v>
      </c>
      <c r="R30" s="18">
        <f t="shared" si="4"/>
        <v>1</v>
      </c>
    </row>
    <row r="31" spans="1:18" ht="31.5" customHeight="1" x14ac:dyDescent="0.85">
      <c r="A31" s="12" t="s">
        <v>246</v>
      </c>
      <c r="B31" s="8">
        <f>'[1]Term 3 Summary Sheet'!$B$31</f>
        <v>0</v>
      </c>
      <c r="C31" s="15"/>
      <c r="D31" s="15"/>
      <c r="E31" s="15"/>
      <c r="F31" s="16"/>
      <c r="G31" s="16"/>
      <c r="H31" s="16"/>
      <c r="I31" s="16"/>
      <c r="J31" s="16"/>
      <c r="K31" s="16"/>
      <c r="L31" s="16"/>
      <c r="M31" s="9">
        <f t="shared" si="0"/>
        <v>0</v>
      </c>
      <c r="N31" s="10">
        <f t="shared" si="1"/>
        <v>0</v>
      </c>
      <c r="O31" s="17"/>
      <c r="P31" s="10">
        <f t="shared" si="2"/>
        <v>0</v>
      </c>
      <c r="Q31" s="11">
        <f t="shared" si="3"/>
        <v>0</v>
      </c>
      <c r="R31" s="18">
        <f t="shared" si="4"/>
        <v>1</v>
      </c>
    </row>
    <row r="32" spans="1:18" ht="31.5" customHeight="1" x14ac:dyDescent="0.85">
      <c r="A32" s="12" t="s">
        <v>247</v>
      </c>
      <c r="B32" s="8">
        <f>'[1]Term 3 Summary Sheet'!$B$32</f>
        <v>0</v>
      </c>
      <c r="C32" s="15"/>
      <c r="D32" s="15"/>
      <c r="E32" s="15"/>
      <c r="F32" s="16"/>
      <c r="G32" s="16"/>
      <c r="H32" s="16"/>
      <c r="I32" s="16"/>
      <c r="J32" s="16"/>
      <c r="K32" s="16"/>
      <c r="L32" s="16"/>
      <c r="M32" s="9">
        <f t="shared" si="0"/>
        <v>0</v>
      </c>
      <c r="N32" s="10">
        <f t="shared" si="1"/>
        <v>0</v>
      </c>
      <c r="O32" s="17"/>
      <c r="P32" s="10">
        <f t="shared" si="2"/>
        <v>0</v>
      </c>
      <c r="Q32" s="11">
        <f t="shared" si="3"/>
        <v>0</v>
      </c>
      <c r="R32" s="18">
        <f t="shared" si="4"/>
        <v>1</v>
      </c>
    </row>
    <row r="33" spans="1:18" ht="31.5" customHeight="1" x14ac:dyDescent="0.85">
      <c r="A33" s="12" t="s">
        <v>248</v>
      </c>
      <c r="B33" s="8">
        <f>'[1]Term 3 Summary Sheet'!$B$33</f>
        <v>0</v>
      </c>
      <c r="C33" s="15"/>
      <c r="D33" s="15"/>
      <c r="E33" s="15"/>
      <c r="F33" s="16"/>
      <c r="G33" s="16"/>
      <c r="H33" s="16"/>
      <c r="I33" s="16"/>
      <c r="J33" s="16"/>
      <c r="K33" s="16"/>
      <c r="L33" s="16"/>
      <c r="M33" s="9">
        <f t="shared" si="0"/>
        <v>0</v>
      </c>
      <c r="N33" s="10">
        <f t="shared" si="1"/>
        <v>0</v>
      </c>
      <c r="O33" s="17"/>
      <c r="P33" s="10">
        <f t="shared" si="2"/>
        <v>0</v>
      </c>
      <c r="Q33" s="11">
        <f t="shared" si="3"/>
        <v>0</v>
      </c>
      <c r="R33" s="18">
        <f t="shared" si="4"/>
        <v>1</v>
      </c>
    </row>
    <row r="34" spans="1:18" ht="31.5" customHeight="1" x14ac:dyDescent="0.85">
      <c r="A34" s="12" t="s">
        <v>249</v>
      </c>
      <c r="B34" s="8">
        <f>'[1]Term 3 Summary Sheet'!$B$34</f>
        <v>0</v>
      </c>
      <c r="C34" s="15"/>
      <c r="D34" s="15"/>
      <c r="E34" s="15"/>
      <c r="F34" s="16"/>
      <c r="G34" s="16"/>
      <c r="H34" s="16"/>
      <c r="I34" s="16"/>
      <c r="J34" s="16"/>
      <c r="K34" s="16"/>
      <c r="L34" s="16"/>
      <c r="M34" s="9">
        <f t="shared" si="0"/>
        <v>0</v>
      </c>
      <c r="N34" s="10">
        <f t="shared" si="1"/>
        <v>0</v>
      </c>
      <c r="O34" s="17"/>
      <c r="P34" s="10">
        <f t="shared" si="2"/>
        <v>0</v>
      </c>
      <c r="Q34" s="11">
        <f t="shared" si="3"/>
        <v>0</v>
      </c>
      <c r="R34" s="18">
        <f t="shared" si="4"/>
        <v>1</v>
      </c>
    </row>
    <row r="35" spans="1:18" ht="31.5" customHeight="1" x14ac:dyDescent="0.85">
      <c r="A35" s="12" t="s">
        <v>250</v>
      </c>
      <c r="B35" s="8">
        <f>'[1]Term 3 Summary Sheet'!$B$35</f>
        <v>0</v>
      </c>
      <c r="C35" s="15"/>
      <c r="D35" s="15"/>
      <c r="E35" s="15"/>
      <c r="F35" s="16"/>
      <c r="G35" s="16"/>
      <c r="H35" s="16"/>
      <c r="I35" s="16"/>
      <c r="J35" s="16"/>
      <c r="K35" s="16"/>
      <c r="L35" s="16"/>
      <c r="M35" s="9">
        <f t="shared" si="0"/>
        <v>0</v>
      </c>
      <c r="N35" s="10">
        <f t="shared" si="1"/>
        <v>0</v>
      </c>
      <c r="O35" s="17"/>
      <c r="P35" s="10">
        <f t="shared" si="2"/>
        <v>0</v>
      </c>
      <c r="Q35" s="11">
        <f t="shared" si="3"/>
        <v>0</v>
      </c>
      <c r="R35" s="18">
        <f t="shared" si="4"/>
        <v>1</v>
      </c>
    </row>
    <row r="36" spans="1:18" ht="31.5" customHeight="1" x14ac:dyDescent="0.85">
      <c r="A36" s="12" t="s">
        <v>251</v>
      </c>
      <c r="B36" s="8">
        <f>'[1]Term 3 Summary Sheet'!$B$36</f>
        <v>0</v>
      </c>
      <c r="C36" s="15"/>
      <c r="D36" s="15"/>
      <c r="E36" s="15"/>
      <c r="F36" s="16"/>
      <c r="G36" s="16"/>
      <c r="H36" s="16"/>
      <c r="I36" s="16"/>
      <c r="J36" s="16"/>
      <c r="K36" s="16"/>
      <c r="L36" s="16"/>
      <c r="M36" s="9">
        <f t="shared" ref="M36:M67" si="5">SUM(C36:L36)</f>
        <v>0</v>
      </c>
      <c r="N36" s="10">
        <f t="shared" ref="N36:N67" si="6">M36/100 *50</f>
        <v>0</v>
      </c>
      <c r="O36" s="17"/>
      <c r="P36" s="10">
        <f t="shared" si="2"/>
        <v>0</v>
      </c>
      <c r="Q36" s="11">
        <f t="shared" si="3"/>
        <v>0</v>
      </c>
      <c r="R36" s="18">
        <f t="shared" si="4"/>
        <v>1</v>
      </c>
    </row>
    <row r="37" spans="1:18" ht="31.5" customHeight="1" x14ac:dyDescent="0.85">
      <c r="A37" s="12" t="s">
        <v>252</v>
      </c>
      <c r="B37" s="8">
        <f>'[1]Term 3 Summary Sheet'!$B$37</f>
        <v>0</v>
      </c>
      <c r="C37" s="15"/>
      <c r="D37" s="15"/>
      <c r="E37" s="15"/>
      <c r="F37" s="16"/>
      <c r="G37" s="16"/>
      <c r="H37" s="16"/>
      <c r="I37" s="16"/>
      <c r="J37" s="16"/>
      <c r="K37" s="16"/>
      <c r="L37" s="16"/>
      <c r="M37" s="9">
        <f t="shared" si="5"/>
        <v>0</v>
      </c>
      <c r="N37" s="10">
        <f t="shared" si="6"/>
        <v>0</v>
      </c>
      <c r="O37" s="17"/>
      <c r="P37" s="10">
        <f t="shared" si="2"/>
        <v>0</v>
      </c>
      <c r="Q37" s="11">
        <f t="shared" si="3"/>
        <v>0</v>
      </c>
      <c r="R37" s="18">
        <f t="shared" si="4"/>
        <v>1</v>
      </c>
    </row>
    <row r="38" spans="1:18" ht="31.5" customHeight="1" x14ac:dyDescent="0.85">
      <c r="A38" s="12" t="s">
        <v>253</v>
      </c>
      <c r="B38" s="8">
        <f>'[1]Term 3 Summary Sheet'!$B$38</f>
        <v>0</v>
      </c>
      <c r="C38" s="15"/>
      <c r="D38" s="15"/>
      <c r="E38" s="15"/>
      <c r="F38" s="16"/>
      <c r="G38" s="16"/>
      <c r="H38" s="16"/>
      <c r="I38" s="16"/>
      <c r="J38" s="16"/>
      <c r="K38" s="16"/>
      <c r="L38" s="16"/>
      <c r="M38" s="9">
        <f t="shared" si="5"/>
        <v>0</v>
      </c>
      <c r="N38" s="10">
        <f t="shared" si="6"/>
        <v>0</v>
      </c>
      <c r="O38" s="17"/>
      <c r="P38" s="10">
        <f t="shared" si="2"/>
        <v>0</v>
      </c>
      <c r="Q38" s="11">
        <f t="shared" si="3"/>
        <v>0</v>
      </c>
      <c r="R38" s="18">
        <f t="shared" si="4"/>
        <v>1</v>
      </c>
    </row>
    <row r="39" spans="1:18" ht="31.5" customHeight="1" x14ac:dyDescent="0.85">
      <c r="A39" s="12" t="s">
        <v>254</v>
      </c>
      <c r="B39" s="8">
        <f>'[1]Term 3 Summary Sheet'!$B$39</f>
        <v>0</v>
      </c>
      <c r="C39" s="15"/>
      <c r="D39" s="15"/>
      <c r="E39" s="15"/>
      <c r="F39" s="16"/>
      <c r="G39" s="16"/>
      <c r="H39" s="16"/>
      <c r="I39" s="16"/>
      <c r="J39" s="16"/>
      <c r="K39" s="16"/>
      <c r="L39" s="16"/>
      <c r="M39" s="9">
        <f t="shared" si="5"/>
        <v>0</v>
      </c>
      <c r="N39" s="10">
        <f t="shared" si="6"/>
        <v>0</v>
      </c>
      <c r="O39" s="17"/>
      <c r="P39" s="10">
        <f t="shared" si="2"/>
        <v>0</v>
      </c>
      <c r="Q39" s="11">
        <f t="shared" si="3"/>
        <v>0</v>
      </c>
      <c r="R39" s="18">
        <f t="shared" si="4"/>
        <v>1</v>
      </c>
    </row>
    <row r="40" spans="1:18" ht="31.5" customHeight="1" x14ac:dyDescent="0.85">
      <c r="A40" s="12" t="s">
        <v>255</v>
      </c>
      <c r="B40" s="8">
        <f>'[1]Term 3 Summary Sheet'!$B$40</f>
        <v>0</v>
      </c>
      <c r="C40" s="15"/>
      <c r="D40" s="15"/>
      <c r="E40" s="15"/>
      <c r="F40" s="16"/>
      <c r="G40" s="16"/>
      <c r="H40" s="16"/>
      <c r="I40" s="16"/>
      <c r="J40" s="16"/>
      <c r="K40" s="16"/>
      <c r="L40" s="16"/>
      <c r="M40" s="9">
        <f t="shared" si="5"/>
        <v>0</v>
      </c>
      <c r="N40" s="10">
        <f t="shared" si="6"/>
        <v>0</v>
      </c>
      <c r="O40" s="17"/>
      <c r="P40" s="10">
        <f t="shared" si="2"/>
        <v>0</v>
      </c>
      <c r="Q40" s="11">
        <f t="shared" si="3"/>
        <v>0</v>
      </c>
      <c r="R40" s="18">
        <f t="shared" si="4"/>
        <v>1</v>
      </c>
    </row>
    <row r="41" spans="1:18" ht="31.5" customHeight="1" x14ac:dyDescent="0.85">
      <c r="A41" s="12" t="s">
        <v>256</v>
      </c>
      <c r="B41" s="8">
        <f>'[1]Term 3 Summary Sheet'!$B$41</f>
        <v>0</v>
      </c>
      <c r="C41" s="15"/>
      <c r="D41" s="15"/>
      <c r="E41" s="15"/>
      <c r="F41" s="16"/>
      <c r="G41" s="16"/>
      <c r="H41" s="16"/>
      <c r="I41" s="16"/>
      <c r="J41" s="16"/>
      <c r="K41" s="16"/>
      <c r="L41" s="16"/>
      <c r="M41" s="9">
        <f t="shared" si="5"/>
        <v>0</v>
      </c>
      <c r="N41" s="10">
        <f t="shared" si="6"/>
        <v>0</v>
      </c>
      <c r="O41" s="17"/>
      <c r="P41" s="10">
        <f t="shared" si="2"/>
        <v>0</v>
      </c>
      <c r="Q41" s="11">
        <f t="shared" si="3"/>
        <v>0</v>
      </c>
      <c r="R41" s="18">
        <f t="shared" si="4"/>
        <v>1</v>
      </c>
    </row>
    <row r="42" spans="1:18" ht="31.5" customHeight="1" x14ac:dyDescent="0.85">
      <c r="A42" s="12" t="s">
        <v>257</v>
      </c>
      <c r="B42" s="8">
        <f>'[1]Term 3 Summary Sheet'!$B$42</f>
        <v>0</v>
      </c>
      <c r="C42" s="15"/>
      <c r="D42" s="15"/>
      <c r="E42" s="15"/>
      <c r="F42" s="16"/>
      <c r="G42" s="16"/>
      <c r="H42" s="16"/>
      <c r="I42" s="16"/>
      <c r="J42" s="16"/>
      <c r="K42" s="16"/>
      <c r="L42" s="16"/>
      <c r="M42" s="9">
        <f t="shared" si="5"/>
        <v>0</v>
      </c>
      <c r="N42" s="10">
        <f t="shared" si="6"/>
        <v>0</v>
      </c>
      <c r="O42" s="17"/>
      <c r="P42" s="10">
        <f t="shared" si="2"/>
        <v>0</v>
      </c>
      <c r="Q42" s="11">
        <f t="shared" si="3"/>
        <v>0</v>
      </c>
      <c r="R42" s="18">
        <f t="shared" si="4"/>
        <v>1</v>
      </c>
    </row>
    <row r="43" spans="1:18" ht="31.5" customHeight="1" x14ac:dyDescent="0.85">
      <c r="A43" s="12" t="s">
        <v>258</v>
      </c>
      <c r="B43" s="8">
        <f>'[1]Term 3 Summary Sheet'!$B$43</f>
        <v>0</v>
      </c>
      <c r="C43" s="15"/>
      <c r="D43" s="15"/>
      <c r="E43" s="15"/>
      <c r="F43" s="16"/>
      <c r="G43" s="16"/>
      <c r="H43" s="16"/>
      <c r="I43" s="16"/>
      <c r="J43" s="16"/>
      <c r="K43" s="16"/>
      <c r="L43" s="16"/>
      <c r="M43" s="9">
        <f t="shared" si="5"/>
        <v>0</v>
      </c>
      <c r="N43" s="10">
        <f t="shared" si="6"/>
        <v>0</v>
      </c>
      <c r="O43" s="17"/>
      <c r="P43" s="10">
        <f t="shared" si="2"/>
        <v>0</v>
      </c>
      <c r="Q43" s="11">
        <f t="shared" si="3"/>
        <v>0</v>
      </c>
      <c r="R43" s="18">
        <f t="shared" si="4"/>
        <v>1</v>
      </c>
    </row>
    <row r="44" spans="1:18" ht="31.5" customHeight="1" x14ac:dyDescent="0.85">
      <c r="A44" s="12" t="s">
        <v>259</v>
      </c>
      <c r="B44" s="8">
        <f>'[1]Term 3 Summary Sheet'!$B$44</f>
        <v>0</v>
      </c>
      <c r="C44" s="15"/>
      <c r="D44" s="15"/>
      <c r="E44" s="15"/>
      <c r="F44" s="16"/>
      <c r="G44" s="16"/>
      <c r="H44" s="16"/>
      <c r="I44" s="16"/>
      <c r="J44" s="16"/>
      <c r="K44" s="16"/>
      <c r="L44" s="16"/>
      <c r="M44" s="9">
        <f t="shared" si="5"/>
        <v>0</v>
      </c>
      <c r="N44" s="10">
        <f t="shared" si="6"/>
        <v>0</v>
      </c>
      <c r="O44" s="17"/>
      <c r="P44" s="10">
        <f t="shared" si="2"/>
        <v>0</v>
      </c>
      <c r="Q44" s="11">
        <f t="shared" si="3"/>
        <v>0</v>
      </c>
      <c r="R44" s="18">
        <f t="shared" si="4"/>
        <v>1</v>
      </c>
    </row>
    <row r="45" spans="1:18" ht="31.5" customHeight="1" x14ac:dyDescent="0.85">
      <c r="A45" s="12" t="s">
        <v>260</v>
      </c>
      <c r="B45" s="8">
        <f>'[1]Term 3 Summary Sheet'!$B$45</f>
        <v>0</v>
      </c>
      <c r="C45" s="15"/>
      <c r="D45" s="15"/>
      <c r="E45" s="15"/>
      <c r="F45" s="16"/>
      <c r="G45" s="16"/>
      <c r="H45" s="16"/>
      <c r="I45" s="16"/>
      <c r="J45" s="16"/>
      <c r="K45" s="16"/>
      <c r="L45" s="16"/>
      <c r="M45" s="9">
        <f t="shared" si="5"/>
        <v>0</v>
      </c>
      <c r="N45" s="10">
        <f t="shared" si="6"/>
        <v>0</v>
      </c>
      <c r="O45" s="17"/>
      <c r="P45" s="10">
        <f t="shared" si="2"/>
        <v>0</v>
      </c>
      <c r="Q45" s="11">
        <f t="shared" si="3"/>
        <v>0</v>
      </c>
      <c r="R45" s="18">
        <f t="shared" si="4"/>
        <v>1</v>
      </c>
    </row>
    <row r="46" spans="1:18" ht="31.5" customHeight="1" x14ac:dyDescent="0.85">
      <c r="A46" s="12" t="s">
        <v>261</v>
      </c>
      <c r="B46" s="8">
        <f>'[1]Term 3 Summary Sheet'!$B$46</f>
        <v>0</v>
      </c>
      <c r="C46" s="15"/>
      <c r="D46" s="15"/>
      <c r="E46" s="15"/>
      <c r="F46" s="16"/>
      <c r="G46" s="16"/>
      <c r="H46" s="16"/>
      <c r="I46" s="16"/>
      <c r="J46" s="16"/>
      <c r="K46" s="16"/>
      <c r="L46" s="16"/>
      <c r="M46" s="9">
        <f t="shared" si="5"/>
        <v>0</v>
      </c>
      <c r="N46" s="10">
        <f t="shared" si="6"/>
        <v>0</v>
      </c>
      <c r="O46" s="17"/>
      <c r="P46" s="10">
        <f t="shared" si="2"/>
        <v>0</v>
      </c>
      <c r="Q46" s="11">
        <f t="shared" si="3"/>
        <v>0</v>
      </c>
      <c r="R46" s="18">
        <f t="shared" si="4"/>
        <v>1</v>
      </c>
    </row>
    <row r="47" spans="1:18" ht="31.5" customHeight="1" x14ac:dyDescent="0.85">
      <c r="A47" s="12" t="s">
        <v>262</v>
      </c>
      <c r="B47" s="8">
        <f>'[1]Term 3 Summary Sheet'!$B$47</f>
        <v>0</v>
      </c>
      <c r="C47" s="15"/>
      <c r="D47" s="15"/>
      <c r="E47" s="15"/>
      <c r="F47" s="16"/>
      <c r="G47" s="16"/>
      <c r="H47" s="16"/>
      <c r="I47" s="16"/>
      <c r="J47" s="16"/>
      <c r="K47" s="16"/>
      <c r="L47" s="16"/>
      <c r="M47" s="9">
        <f t="shared" si="5"/>
        <v>0</v>
      </c>
      <c r="N47" s="10">
        <f t="shared" si="6"/>
        <v>0</v>
      </c>
      <c r="O47" s="17"/>
      <c r="P47" s="10">
        <f t="shared" si="2"/>
        <v>0</v>
      </c>
      <c r="Q47" s="11">
        <f t="shared" si="3"/>
        <v>0</v>
      </c>
      <c r="R47" s="18">
        <f t="shared" si="4"/>
        <v>1</v>
      </c>
    </row>
    <row r="48" spans="1:18" ht="31.5" customHeight="1" x14ac:dyDescent="0.85">
      <c r="A48" s="12" t="s">
        <v>263</v>
      </c>
      <c r="B48" s="8">
        <f>'[1]Term 3 Summary Sheet'!$B$48</f>
        <v>0</v>
      </c>
      <c r="C48" s="15"/>
      <c r="D48" s="15"/>
      <c r="E48" s="15"/>
      <c r="F48" s="16"/>
      <c r="G48" s="16"/>
      <c r="H48" s="16"/>
      <c r="I48" s="16"/>
      <c r="J48" s="16"/>
      <c r="K48" s="16"/>
      <c r="L48" s="16"/>
      <c r="M48" s="9">
        <f t="shared" si="5"/>
        <v>0</v>
      </c>
      <c r="N48" s="10">
        <f t="shared" si="6"/>
        <v>0</v>
      </c>
      <c r="O48" s="17"/>
      <c r="P48" s="10">
        <f t="shared" si="2"/>
        <v>0</v>
      </c>
      <c r="Q48" s="11">
        <f t="shared" si="3"/>
        <v>0</v>
      </c>
      <c r="R48" s="18">
        <f t="shared" si="4"/>
        <v>1</v>
      </c>
    </row>
    <row r="49" spans="1:18" ht="31.5" customHeight="1" x14ac:dyDescent="0.85">
      <c r="A49" s="12" t="s">
        <v>264</v>
      </c>
      <c r="B49" s="8">
        <f>'[1]Term 3 Summary Sheet'!$B$49</f>
        <v>0</v>
      </c>
      <c r="C49" s="15"/>
      <c r="D49" s="15"/>
      <c r="E49" s="15"/>
      <c r="F49" s="16"/>
      <c r="G49" s="16"/>
      <c r="H49" s="16"/>
      <c r="I49" s="16"/>
      <c r="J49" s="16"/>
      <c r="K49" s="16"/>
      <c r="L49" s="16"/>
      <c r="M49" s="9">
        <f t="shared" si="5"/>
        <v>0</v>
      </c>
      <c r="N49" s="10">
        <f t="shared" si="6"/>
        <v>0</v>
      </c>
      <c r="O49" s="17"/>
      <c r="P49" s="10">
        <f t="shared" si="2"/>
        <v>0</v>
      </c>
      <c r="Q49" s="11">
        <f t="shared" si="3"/>
        <v>0</v>
      </c>
      <c r="R49" s="18">
        <f t="shared" si="4"/>
        <v>1</v>
      </c>
    </row>
    <row r="50" spans="1:18" ht="31.5" customHeight="1" x14ac:dyDescent="0.85">
      <c r="A50" s="12" t="s">
        <v>265</v>
      </c>
      <c r="B50" s="8">
        <f>'[1]Term 3 Summary Sheet'!$B$50</f>
        <v>0</v>
      </c>
      <c r="C50" s="15"/>
      <c r="D50" s="15"/>
      <c r="E50" s="15"/>
      <c r="F50" s="16"/>
      <c r="G50" s="16"/>
      <c r="H50" s="16"/>
      <c r="I50" s="16"/>
      <c r="J50" s="16"/>
      <c r="K50" s="16"/>
      <c r="L50" s="16"/>
      <c r="M50" s="9">
        <f t="shared" si="5"/>
        <v>0</v>
      </c>
      <c r="N50" s="10">
        <f t="shared" si="6"/>
        <v>0</v>
      </c>
      <c r="O50" s="17"/>
      <c r="P50" s="10">
        <f t="shared" si="2"/>
        <v>0</v>
      </c>
      <c r="Q50" s="11">
        <f t="shared" si="3"/>
        <v>0</v>
      </c>
      <c r="R50" s="18">
        <f t="shared" si="4"/>
        <v>1</v>
      </c>
    </row>
    <row r="51" spans="1:18" ht="31.5" customHeight="1" x14ac:dyDescent="0.85">
      <c r="A51" s="12" t="s">
        <v>266</v>
      </c>
      <c r="B51" s="8">
        <f>'[1]Term 3 Summary Sheet'!$B$51</f>
        <v>0</v>
      </c>
      <c r="C51" s="15"/>
      <c r="D51" s="15"/>
      <c r="E51" s="15"/>
      <c r="F51" s="16"/>
      <c r="G51" s="16"/>
      <c r="H51" s="16"/>
      <c r="I51" s="16"/>
      <c r="J51" s="16"/>
      <c r="K51" s="16"/>
      <c r="L51" s="16"/>
      <c r="M51" s="9">
        <f t="shared" si="5"/>
        <v>0</v>
      </c>
      <c r="N51" s="10">
        <f t="shared" si="6"/>
        <v>0</v>
      </c>
      <c r="O51" s="17"/>
      <c r="P51" s="10">
        <f t="shared" si="2"/>
        <v>0</v>
      </c>
      <c r="Q51" s="11">
        <f t="shared" si="3"/>
        <v>0</v>
      </c>
      <c r="R51" s="18">
        <f t="shared" si="4"/>
        <v>1</v>
      </c>
    </row>
    <row r="52" spans="1:18" ht="31.5" customHeight="1" x14ac:dyDescent="0.85">
      <c r="A52" s="12" t="s">
        <v>267</v>
      </c>
      <c r="B52" s="8">
        <f>'[1]Term 3 Summary Sheet'!$B$52</f>
        <v>0</v>
      </c>
      <c r="C52" s="15"/>
      <c r="D52" s="15"/>
      <c r="E52" s="15"/>
      <c r="F52" s="16"/>
      <c r="G52" s="16"/>
      <c r="H52" s="16"/>
      <c r="I52" s="16"/>
      <c r="J52" s="16"/>
      <c r="K52" s="16"/>
      <c r="L52" s="16"/>
      <c r="M52" s="9">
        <f t="shared" si="5"/>
        <v>0</v>
      </c>
      <c r="N52" s="10">
        <f t="shared" si="6"/>
        <v>0</v>
      </c>
      <c r="O52" s="17"/>
      <c r="P52" s="10">
        <f t="shared" si="2"/>
        <v>0</v>
      </c>
      <c r="Q52" s="11">
        <f t="shared" si="3"/>
        <v>0</v>
      </c>
      <c r="R52" s="18">
        <f t="shared" si="4"/>
        <v>1</v>
      </c>
    </row>
    <row r="53" spans="1:18" ht="31.5" customHeight="1" x14ac:dyDescent="0.85">
      <c r="A53" s="12" t="s">
        <v>268</v>
      </c>
      <c r="B53" s="8">
        <f>'[1]Term 3 Summary Sheet'!$B$53</f>
        <v>0</v>
      </c>
      <c r="C53" s="15"/>
      <c r="D53" s="15"/>
      <c r="E53" s="15"/>
      <c r="F53" s="16"/>
      <c r="G53" s="16"/>
      <c r="H53" s="16"/>
      <c r="I53" s="16"/>
      <c r="J53" s="16"/>
      <c r="K53" s="16"/>
      <c r="L53" s="16"/>
      <c r="M53" s="9">
        <f t="shared" si="5"/>
        <v>0</v>
      </c>
      <c r="N53" s="10">
        <f t="shared" si="6"/>
        <v>0</v>
      </c>
      <c r="O53" s="17"/>
      <c r="P53" s="10">
        <f t="shared" si="2"/>
        <v>0</v>
      </c>
      <c r="Q53" s="11">
        <f t="shared" si="3"/>
        <v>0</v>
      </c>
      <c r="R53" s="18">
        <f t="shared" si="4"/>
        <v>1</v>
      </c>
    </row>
    <row r="54" spans="1:18" ht="31.5" customHeight="1" x14ac:dyDescent="0.85">
      <c r="A54" s="12" t="s">
        <v>269</v>
      </c>
      <c r="B54" s="8">
        <f>'[1]Term 3 Summary Sheet'!$B$54</f>
        <v>0</v>
      </c>
      <c r="C54" s="15"/>
      <c r="D54" s="15"/>
      <c r="E54" s="15"/>
      <c r="F54" s="16"/>
      <c r="G54" s="16"/>
      <c r="H54" s="16"/>
      <c r="I54" s="16"/>
      <c r="J54" s="16"/>
      <c r="K54" s="16"/>
      <c r="L54" s="16"/>
      <c r="M54" s="9">
        <f t="shared" si="5"/>
        <v>0</v>
      </c>
      <c r="N54" s="10">
        <f t="shared" si="6"/>
        <v>0</v>
      </c>
      <c r="O54" s="17"/>
      <c r="P54" s="10">
        <f t="shared" si="2"/>
        <v>0</v>
      </c>
      <c r="Q54" s="11">
        <f t="shared" si="3"/>
        <v>0</v>
      </c>
      <c r="R54" s="18">
        <f t="shared" si="4"/>
        <v>1</v>
      </c>
    </row>
    <row r="55" spans="1:18" ht="31.5" customHeight="1" x14ac:dyDescent="0.85">
      <c r="A55" s="12" t="s">
        <v>270</v>
      </c>
      <c r="B55" s="8">
        <f>'[1]Term 3 Summary Sheet'!$B$55</f>
        <v>0</v>
      </c>
      <c r="C55" s="15"/>
      <c r="D55" s="15"/>
      <c r="E55" s="15"/>
      <c r="F55" s="16"/>
      <c r="G55" s="16"/>
      <c r="H55" s="16"/>
      <c r="I55" s="16"/>
      <c r="J55" s="16"/>
      <c r="K55" s="16"/>
      <c r="L55" s="16"/>
      <c r="M55" s="9">
        <f t="shared" si="5"/>
        <v>0</v>
      </c>
      <c r="N55" s="10">
        <f t="shared" si="6"/>
        <v>0</v>
      </c>
      <c r="O55" s="17"/>
      <c r="P55" s="10">
        <f t="shared" si="2"/>
        <v>0</v>
      </c>
      <c r="Q55" s="11">
        <f t="shared" si="3"/>
        <v>0</v>
      </c>
      <c r="R55" s="18">
        <f t="shared" si="4"/>
        <v>1</v>
      </c>
    </row>
    <row r="56" spans="1:18" ht="31.5" customHeight="1" x14ac:dyDescent="0.85">
      <c r="A56" s="12" t="s">
        <v>271</v>
      </c>
      <c r="B56" s="8">
        <f>'[1]Term 3 Summary Sheet'!$B$56</f>
        <v>0</v>
      </c>
      <c r="C56" s="15"/>
      <c r="D56" s="15"/>
      <c r="E56" s="15"/>
      <c r="F56" s="16"/>
      <c r="G56" s="16"/>
      <c r="H56" s="16"/>
      <c r="I56" s="16"/>
      <c r="J56" s="16"/>
      <c r="K56" s="16"/>
      <c r="L56" s="16"/>
      <c r="M56" s="9">
        <f t="shared" si="5"/>
        <v>0</v>
      </c>
      <c r="N56" s="10">
        <f t="shared" si="6"/>
        <v>0</v>
      </c>
      <c r="O56" s="17"/>
      <c r="P56" s="10">
        <f t="shared" si="2"/>
        <v>0</v>
      </c>
      <c r="Q56" s="11">
        <f t="shared" si="3"/>
        <v>0</v>
      </c>
      <c r="R56" s="18">
        <f t="shared" si="4"/>
        <v>1</v>
      </c>
    </row>
    <row r="57" spans="1:18" ht="31.5" customHeight="1" x14ac:dyDescent="0.85">
      <c r="A57" s="12" t="s">
        <v>272</v>
      </c>
      <c r="B57" s="8">
        <f>'[1]Term 3 Summary Sheet'!$B$57</f>
        <v>0</v>
      </c>
      <c r="C57" s="15"/>
      <c r="D57" s="15"/>
      <c r="E57" s="15"/>
      <c r="F57" s="16"/>
      <c r="G57" s="16"/>
      <c r="H57" s="16"/>
      <c r="I57" s="16"/>
      <c r="J57" s="16"/>
      <c r="K57" s="16"/>
      <c r="L57" s="16"/>
      <c r="M57" s="9">
        <f t="shared" si="5"/>
        <v>0</v>
      </c>
      <c r="N57" s="10">
        <f t="shared" si="6"/>
        <v>0</v>
      </c>
      <c r="O57" s="17"/>
      <c r="P57" s="10">
        <f t="shared" si="2"/>
        <v>0</v>
      </c>
      <c r="Q57" s="11">
        <f t="shared" si="3"/>
        <v>0</v>
      </c>
      <c r="R57" s="18">
        <f t="shared" si="4"/>
        <v>1</v>
      </c>
    </row>
    <row r="58" spans="1:18" ht="31.5" customHeight="1" x14ac:dyDescent="0.85">
      <c r="A58" s="12" t="s">
        <v>273</v>
      </c>
      <c r="B58" s="8">
        <f>'[1]Term 3 Summary Sheet'!$B$58</f>
        <v>0</v>
      </c>
      <c r="C58" s="15"/>
      <c r="D58" s="15"/>
      <c r="E58" s="15"/>
      <c r="F58" s="16"/>
      <c r="G58" s="16"/>
      <c r="H58" s="16"/>
      <c r="I58" s="16"/>
      <c r="J58" s="16"/>
      <c r="K58" s="16"/>
      <c r="L58" s="16"/>
      <c r="M58" s="9">
        <f t="shared" si="5"/>
        <v>0</v>
      </c>
      <c r="N58" s="10">
        <f t="shared" si="6"/>
        <v>0</v>
      </c>
      <c r="O58" s="17"/>
      <c r="P58" s="10">
        <f t="shared" si="2"/>
        <v>0</v>
      </c>
      <c r="Q58" s="11">
        <f t="shared" si="3"/>
        <v>0</v>
      </c>
      <c r="R58" s="18">
        <f t="shared" si="4"/>
        <v>1</v>
      </c>
    </row>
    <row r="59" spans="1:18" ht="31.5" customHeight="1" x14ac:dyDescent="0.85">
      <c r="A59" s="12" t="s">
        <v>274</v>
      </c>
      <c r="B59" s="8">
        <f>'[1]Term 3 Summary Sheet'!$B$59</f>
        <v>0</v>
      </c>
      <c r="C59" s="15"/>
      <c r="D59" s="15"/>
      <c r="E59" s="15"/>
      <c r="F59" s="16"/>
      <c r="G59" s="16"/>
      <c r="H59" s="16"/>
      <c r="I59" s="16"/>
      <c r="J59" s="16"/>
      <c r="K59" s="16"/>
      <c r="L59" s="16"/>
      <c r="M59" s="9">
        <f t="shared" si="5"/>
        <v>0</v>
      </c>
      <c r="N59" s="10">
        <f t="shared" si="6"/>
        <v>0</v>
      </c>
      <c r="O59" s="17"/>
      <c r="P59" s="10">
        <f t="shared" si="2"/>
        <v>0</v>
      </c>
      <c r="Q59" s="11">
        <f t="shared" si="3"/>
        <v>0</v>
      </c>
      <c r="R59" s="18">
        <f t="shared" si="4"/>
        <v>1</v>
      </c>
    </row>
    <row r="60" spans="1:18" ht="31.5" customHeight="1" x14ac:dyDescent="0.85">
      <c r="A60" s="12" t="s">
        <v>275</v>
      </c>
      <c r="B60" s="8">
        <f>'[1]Term 3 Summary Sheet'!$B$60</f>
        <v>0</v>
      </c>
      <c r="C60" s="15"/>
      <c r="D60" s="15"/>
      <c r="E60" s="15"/>
      <c r="F60" s="16"/>
      <c r="G60" s="16"/>
      <c r="H60" s="16"/>
      <c r="I60" s="16"/>
      <c r="J60" s="16"/>
      <c r="K60" s="16"/>
      <c r="L60" s="16"/>
      <c r="M60" s="9">
        <f t="shared" si="5"/>
        <v>0</v>
      </c>
      <c r="N60" s="10">
        <f t="shared" si="6"/>
        <v>0</v>
      </c>
      <c r="O60" s="17"/>
      <c r="P60" s="10">
        <f t="shared" si="2"/>
        <v>0</v>
      </c>
      <c r="Q60" s="11">
        <f t="shared" si="3"/>
        <v>0</v>
      </c>
      <c r="R60" s="18">
        <f t="shared" si="4"/>
        <v>1</v>
      </c>
    </row>
    <row r="61" spans="1:18" ht="31.5" customHeight="1" x14ac:dyDescent="0.85">
      <c r="A61" s="12" t="s">
        <v>276</v>
      </c>
      <c r="B61" s="8">
        <f>'[1]Term 3 Summary Sheet'!$B$61</f>
        <v>0</v>
      </c>
      <c r="C61" s="15"/>
      <c r="D61" s="15"/>
      <c r="E61" s="15"/>
      <c r="F61" s="16"/>
      <c r="G61" s="16"/>
      <c r="H61" s="16"/>
      <c r="I61" s="16"/>
      <c r="J61" s="16"/>
      <c r="K61" s="16"/>
      <c r="L61" s="16"/>
      <c r="M61" s="9">
        <f t="shared" si="5"/>
        <v>0</v>
      </c>
      <c r="N61" s="10">
        <f t="shared" si="6"/>
        <v>0</v>
      </c>
      <c r="O61" s="17"/>
      <c r="P61" s="10">
        <f t="shared" si="2"/>
        <v>0</v>
      </c>
      <c r="Q61" s="11">
        <f t="shared" si="3"/>
        <v>0</v>
      </c>
      <c r="R61" s="18">
        <f t="shared" si="4"/>
        <v>1</v>
      </c>
    </row>
    <row r="62" spans="1:18" ht="31.5" customHeight="1" x14ac:dyDescent="0.85">
      <c r="A62" s="12" t="s">
        <v>277</v>
      </c>
      <c r="B62" s="8">
        <f>'[1]Term 3 Summary Sheet'!$B$62</f>
        <v>0</v>
      </c>
      <c r="C62" s="15"/>
      <c r="D62" s="15"/>
      <c r="E62" s="15"/>
      <c r="F62" s="16"/>
      <c r="G62" s="16"/>
      <c r="H62" s="16"/>
      <c r="I62" s="16"/>
      <c r="J62" s="16"/>
      <c r="K62" s="16"/>
      <c r="L62" s="16"/>
      <c r="M62" s="9">
        <f t="shared" si="5"/>
        <v>0</v>
      </c>
      <c r="N62" s="10">
        <f t="shared" si="6"/>
        <v>0</v>
      </c>
      <c r="O62" s="17"/>
      <c r="P62" s="10">
        <f t="shared" si="2"/>
        <v>0</v>
      </c>
      <c r="Q62" s="11">
        <f t="shared" si="3"/>
        <v>0</v>
      </c>
      <c r="R62" s="18">
        <f t="shared" si="4"/>
        <v>1</v>
      </c>
    </row>
    <row r="63" spans="1:18" ht="31.5" customHeight="1" x14ac:dyDescent="0.85">
      <c r="A63" s="12" t="s">
        <v>278</v>
      </c>
      <c r="B63" s="8">
        <f>'[1]Term 3 Summary Sheet'!$B$63</f>
        <v>0</v>
      </c>
      <c r="C63" s="15"/>
      <c r="D63" s="15"/>
      <c r="E63" s="15"/>
      <c r="F63" s="16"/>
      <c r="G63" s="16"/>
      <c r="H63" s="16"/>
      <c r="I63" s="16"/>
      <c r="J63" s="16"/>
      <c r="K63" s="16"/>
      <c r="L63" s="16"/>
      <c r="M63" s="9">
        <f t="shared" si="5"/>
        <v>0</v>
      </c>
      <c r="N63" s="10">
        <f t="shared" si="6"/>
        <v>0</v>
      </c>
      <c r="O63" s="17"/>
      <c r="P63" s="10">
        <f t="shared" si="2"/>
        <v>0</v>
      </c>
      <c r="Q63" s="11">
        <f t="shared" si="3"/>
        <v>0</v>
      </c>
      <c r="R63" s="18">
        <f t="shared" si="4"/>
        <v>1</v>
      </c>
    </row>
    <row r="64" spans="1:18" ht="31.5" customHeight="1" x14ac:dyDescent="0.85">
      <c r="A64" s="12" t="s">
        <v>279</v>
      </c>
      <c r="B64" s="8">
        <f>'[1]Term 3 Summary Sheet'!$B$64</f>
        <v>0</v>
      </c>
      <c r="C64" s="15"/>
      <c r="D64" s="15"/>
      <c r="E64" s="15"/>
      <c r="F64" s="16"/>
      <c r="G64" s="16"/>
      <c r="H64" s="16"/>
      <c r="I64" s="16"/>
      <c r="J64" s="16"/>
      <c r="K64" s="16"/>
      <c r="L64" s="16"/>
      <c r="M64" s="9">
        <f t="shared" si="5"/>
        <v>0</v>
      </c>
      <c r="N64" s="10">
        <f t="shared" si="6"/>
        <v>0</v>
      </c>
      <c r="O64" s="17"/>
      <c r="P64" s="10">
        <f t="shared" si="2"/>
        <v>0</v>
      </c>
      <c r="Q64" s="11">
        <f t="shared" si="3"/>
        <v>0</v>
      </c>
      <c r="R64" s="18">
        <f t="shared" si="4"/>
        <v>1</v>
      </c>
    </row>
    <row r="65" spans="1:18" ht="31.5" customHeight="1" x14ac:dyDescent="0.85">
      <c r="A65" s="12" t="s">
        <v>280</v>
      </c>
      <c r="B65" s="8">
        <f>'[1]Term 3 Summary Sheet'!$B$65</f>
        <v>0</v>
      </c>
      <c r="C65" s="15"/>
      <c r="D65" s="15"/>
      <c r="E65" s="15"/>
      <c r="F65" s="16"/>
      <c r="G65" s="16"/>
      <c r="H65" s="16"/>
      <c r="I65" s="16"/>
      <c r="J65" s="16"/>
      <c r="K65" s="16"/>
      <c r="L65" s="16"/>
      <c r="M65" s="9">
        <f t="shared" si="5"/>
        <v>0</v>
      </c>
      <c r="N65" s="10">
        <f t="shared" si="6"/>
        <v>0</v>
      </c>
      <c r="O65" s="17"/>
      <c r="P65" s="10">
        <f t="shared" si="2"/>
        <v>0</v>
      </c>
      <c r="Q65" s="11">
        <f t="shared" si="3"/>
        <v>0</v>
      </c>
      <c r="R65" s="18">
        <f t="shared" si="4"/>
        <v>1</v>
      </c>
    </row>
    <row r="66" spans="1:18" ht="31.5" customHeight="1" x14ac:dyDescent="0.85">
      <c r="A66" s="12" t="s">
        <v>281</v>
      </c>
      <c r="B66" s="8">
        <f>'[1]Term 3 Summary Sheet'!$B$66</f>
        <v>0</v>
      </c>
      <c r="C66" s="15"/>
      <c r="D66" s="15"/>
      <c r="E66" s="15"/>
      <c r="F66" s="16"/>
      <c r="G66" s="16"/>
      <c r="H66" s="16"/>
      <c r="I66" s="16"/>
      <c r="J66" s="16"/>
      <c r="K66" s="16"/>
      <c r="L66" s="16"/>
      <c r="M66" s="9">
        <f t="shared" si="5"/>
        <v>0</v>
      </c>
      <c r="N66" s="10">
        <f t="shared" si="6"/>
        <v>0</v>
      </c>
      <c r="O66" s="17"/>
      <c r="P66" s="10">
        <f t="shared" si="2"/>
        <v>0</v>
      </c>
      <c r="Q66" s="11">
        <f t="shared" si="3"/>
        <v>0</v>
      </c>
      <c r="R66" s="18">
        <f t="shared" si="4"/>
        <v>1</v>
      </c>
    </row>
    <row r="67" spans="1:18" ht="31.5" customHeight="1" x14ac:dyDescent="0.85">
      <c r="A67" s="12" t="s">
        <v>282</v>
      </c>
      <c r="B67" s="8">
        <f>'[1]Term 3 Summary Sheet'!$B$67</f>
        <v>0</v>
      </c>
      <c r="C67" s="15"/>
      <c r="D67" s="15"/>
      <c r="E67" s="15"/>
      <c r="F67" s="16"/>
      <c r="G67" s="16"/>
      <c r="H67" s="16"/>
      <c r="I67" s="16"/>
      <c r="J67" s="16"/>
      <c r="K67" s="16"/>
      <c r="L67" s="16"/>
      <c r="M67" s="9">
        <f t="shared" si="5"/>
        <v>0</v>
      </c>
      <c r="N67" s="10">
        <f t="shared" si="6"/>
        <v>0</v>
      </c>
      <c r="O67" s="17"/>
      <c r="P67" s="10">
        <f t="shared" si="2"/>
        <v>0</v>
      </c>
      <c r="Q67" s="11">
        <f t="shared" si="3"/>
        <v>0</v>
      </c>
      <c r="R67" s="18">
        <f t="shared" si="4"/>
        <v>1</v>
      </c>
    </row>
    <row r="68" spans="1:18" ht="31.5" customHeight="1" x14ac:dyDescent="0.85">
      <c r="A68" s="12" t="s">
        <v>283</v>
      </c>
      <c r="B68" s="8">
        <f>'[1]Term 3 Summary Sheet'!$B$68</f>
        <v>0</v>
      </c>
      <c r="C68" s="15"/>
      <c r="D68" s="15"/>
      <c r="E68" s="15"/>
      <c r="F68" s="16"/>
      <c r="G68" s="16"/>
      <c r="H68" s="16"/>
      <c r="I68" s="16"/>
      <c r="J68" s="16"/>
      <c r="K68" s="16"/>
      <c r="L68" s="16"/>
      <c r="M68" s="9">
        <f t="shared" ref="M68:M99" si="7">SUM(C68:L68)</f>
        <v>0</v>
      </c>
      <c r="N68" s="10">
        <f t="shared" ref="N68:N99" si="8">M68/100 *50</f>
        <v>0</v>
      </c>
      <c r="O68" s="17"/>
      <c r="P68" s="10">
        <f t="shared" ref="P68:P104" si="9">O68/100 *50</f>
        <v>0</v>
      </c>
      <c r="Q68" s="11">
        <f t="shared" ref="Q68:Q104" si="10">SUM(N68,P68)</f>
        <v>0</v>
      </c>
      <c r="R68" s="18">
        <f t="shared" si="4"/>
        <v>1</v>
      </c>
    </row>
    <row r="69" spans="1:18" ht="31.5" customHeight="1" x14ac:dyDescent="0.85">
      <c r="A69" s="12" t="s">
        <v>284</v>
      </c>
      <c r="B69" s="8">
        <f>'[1]Term 3 Summary Sheet'!$B$69</f>
        <v>0</v>
      </c>
      <c r="C69" s="15"/>
      <c r="D69" s="15"/>
      <c r="E69" s="15"/>
      <c r="F69" s="16"/>
      <c r="G69" s="16"/>
      <c r="H69" s="16"/>
      <c r="I69" s="16"/>
      <c r="J69" s="16"/>
      <c r="K69" s="16"/>
      <c r="L69" s="16"/>
      <c r="M69" s="9">
        <f t="shared" si="7"/>
        <v>0</v>
      </c>
      <c r="N69" s="10">
        <f t="shared" si="8"/>
        <v>0</v>
      </c>
      <c r="O69" s="17"/>
      <c r="P69" s="10">
        <f t="shared" si="9"/>
        <v>0</v>
      </c>
      <c r="Q69" s="11">
        <f t="shared" si="10"/>
        <v>0</v>
      </c>
      <c r="R69" s="18">
        <f t="shared" si="4"/>
        <v>1</v>
      </c>
    </row>
    <row r="70" spans="1:18" ht="31.5" customHeight="1" x14ac:dyDescent="0.85">
      <c r="A70" s="12" t="s">
        <v>285</v>
      </c>
      <c r="B70" s="8">
        <f>'[1]Term 3 Summary Sheet'!$B$70</f>
        <v>0</v>
      </c>
      <c r="C70" s="15"/>
      <c r="D70" s="15"/>
      <c r="E70" s="15"/>
      <c r="F70" s="16"/>
      <c r="G70" s="16"/>
      <c r="H70" s="16"/>
      <c r="I70" s="16"/>
      <c r="J70" s="16"/>
      <c r="K70" s="16"/>
      <c r="L70" s="16"/>
      <c r="M70" s="9">
        <f t="shared" si="7"/>
        <v>0</v>
      </c>
      <c r="N70" s="10">
        <f t="shared" si="8"/>
        <v>0</v>
      </c>
      <c r="O70" s="17"/>
      <c r="P70" s="10">
        <f t="shared" si="9"/>
        <v>0</v>
      </c>
      <c r="Q70" s="11">
        <f t="shared" si="10"/>
        <v>0</v>
      </c>
      <c r="R70" s="18">
        <f t="shared" ref="R70:R104" si="11">_xlfn.RANK.EQ(Q70,$Q$5:$Q$104,)</f>
        <v>1</v>
      </c>
    </row>
    <row r="71" spans="1:18" ht="31.5" customHeight="1" x14ac:dyDescent="0.85">
      <c r="A71" s="12" t="s">
        <v>286</v>
      </c>
      <c r="B71" s="8">
        <f>'[1]Term 3 Summary Sheet'!$B$71</f>
        <v>0</v>
      </c>
      <c r="C71" s="15"/>
      <c r="D71" s="15"/>
      <c r="E71" s="15"/>
      <c r="F71" s="16"/>
      <c r="G71" s="16"/>
      <c r="H71" s="16"/>
      <c r="I71" s="16"/>
      <c r="J71" s="16"/>
      <c r="K71" s="16"/>
      <c r="L71" s="16"/>
      <c r="M71" s="9">
        <f t="shared" si="7"/>
        <v>0</v>
      </c>
      <c r="N71" s="10">
        <f t="shared" si="8"/>
        <v>0</v>
      </c>
      <c r="O71" s="17"/>
      <c r="P71" s="10">
        <f t="shared" si="9"/>
        <v>0</v>
      </c>
      <c r="Q71" s="11">
        <f t="shared" si="10"/>
        <v>0</v>
      </c>
      <c r="R71" s="18">
        <f t="shared" si="11"/>
        <v>1</v>
      </c>
    </row>
    <row r="72" spans="1:18" ht="31.5" customHeight="1" x14ac:dyDescent="0.85">
      <c r="A72" s="12" t="s">
        <v>287</v>
      </c>
      <c r="B72" s="8">
        <f>'[1]Term 3 Summary Sheet'!$B$72</f>
        <v>0</v>
      </c>
      <c r="C72" s="15"/>
      <c r="D72" s="15"/>
      <c r="E72" s="15"/>
      <c r="F72" s="16"/>
      <c r="G72" s="16"/>
      <c r="H72" s="16"/>
      <c r="I72" s="16"/>
      <c r="J72" s="16"/>
      <c r="K72" s="16"/>
      <c r="L72" s="16"/>
      <c r="M72" s="9">
        <f t="shared" si="7"/>
        <v>0</v>
      </c>
      <c r="N72" s="10">
        <f t="shared" si="8"/>
        <v>0</v>
      </c>
      <c r="O72" s="17"/>
      <c r="P72" s="10">
        <f t="shared" si="9"/>
        <v>0</v>
      </c>
      <c r="Q72" s="11">
        <f t="shared" si="10"/>
        <v>0</v>
      </c>
      <c r="R72" s="18">
        <f t="shared" si="11"/>
        <v>1</v>
      </c>
    </row>
    <row r="73" spans="1:18" ht="31.5" customHeight="1" x14ac:dyDescent="0.85">
      <c r="A73" s="12" t="s">
        <v>288</v>
      </c>
      <c r="B73" s="8">
        <f>'[1]Term 3 Summary Sheet'!$B$73</f>
        <v>0</v>
      </c>
      <c r="C73" s="15"/>
      <c r="D73" s="15"/>
      <c r="E73" s="15"/>
      <c r="F73" s="16"/>
      <c r="G73" s="16"/>
      <c r="H73" s="16"/>
      <c r="I73" s="16"/>
      <c r="J73" s="16"/>
      <c r="K73" s="16"/>
      <c r="L73" s="16"/>
      <c r="M73" s="9">
        <f t="shared" si="7"/>
        <v>0</v>
      </c>
      <c r="N73" s="10">
        <f t="shared" si="8"/>
        <v>0</v>
      </c>
      <c r="O73" s="17"/>
      <c r="P73" s="10">
        <f t="shared" si="9"/>
        <v>0</v>
      </c>
      <c r="Q73" s="11">
        <f t="shared" si="10"/>
        <v>0</v>
      </c>
      <c r="R73" s="18">
        <f t="shared" si="11"/>
        <v>1</v>
      </c>
    </row>
    <row r="74" spans="1:18" ht="31.5" customHeight="1" x14ac:dyDescent="0.85">
      <c r="A74" s="12" t="s">
        <v>289</v>
      </c>
      <c r="B74" s="8">
        <f>'[1]Term 3 Summary Sheet'!$B$74</f>
        <v>0</v>
      </c>
      <c r="C74" s="15"/>
      <c r="D74" s="15"/>
      <c r="E74" s="15"/>
      <c r="F74" s="16"/>
      <c r="G74" s="16"/>
      <c r="H74" s="16"/>
      <c r="I74" s="16"/>
      <c r="J74" s="16"/>
      <c r="K74" s="16"/>
      <c r="L74" s="16"/>
      <c r="M74" s="9">
        <f t="shared" si="7"/>
        <v>0</v>
      </c>
      <c r="N74" s="10">
        <f t="shared" si="8"/>
        <v>0</v>
      </c>
      <c r="O74" s="17"/>
      <c r="P74" s="10">
        <f t="shared" si="9"/>
        <v>0</v>
      </c>
      <c r="Q74" s="11">
        <f t="shared" si="10"/>
        <v>0</v>
      </c>
      <c r="R74" s="18">
        <f t="shared" si="11"/>
        <v>1</v>
      </c>
    </row>
    <row r="75" spans="1:18" ht="31.5" customHeight="1" x14ac:dyDescent="0.85">
      <c r="A75" s="12" t="s">
        <v>290</v>
      </c>
      <c r="B75" s="8">
        <f>'[1]Term 3 Summary Sheet'!$B$75</f>
        <v>0</v>
      </c>
      <c r="C75" s="15"/>
      <c r="D75" s="15"/>
      <c r="E75" s="15"/>
      <c r="F75" s="16"/>
      <c r="G75" s="16"/>
      <c r="H75" s="16"/>
      <c r="I75" s="16"/>
      <c r="J75" s="16"/>
      <c r="K75" s="16"/>
      <c r="L75" s="16"/>
      <c r="M75" s="9">
        <f t="shared" si="7"/>
        <v>0</v>
      </c>
      <c r="N75" s="10">
        <f t="shared" si="8"/>
        <v>0</v>
      </c>
      <c r="O75" s="17"/>
      <c r="P75" s="10">
        <f t="shared" si="9"/>
        <v>0</v>
      </c>
      <c r="Q75" s="11">
        <f t="shared" si="10"/>
        <v>0</v>
      </c>
      <c r="R75" s="18">
        <f t="shared" si="11"/>
        <v>1</v>
      </c>
    </row>
    <row r="76" spans="1:18" ht="31.5" customHeight="1" x14ac:dyDescent="0.85">
      <c r="A76" s="12" t="s">
        <v>291</v>
      </c>
      <c r="B76" s="8">
        <f>'[1]Term 3 Summary Sheet'!$B$76</f>
        <v>0</v>
      </c>
      <c r="C76" s="15"/>
      <c r="D76" s="15"/>
      <c r="E76" s="15"/>
      <c r="F76" s="16"/>
      <c r="G76" s="16"/>
      <c r="H76" s="16"/>
      <c r="I76" s="16"/>
      <c r="J76" s="16"/>
      <c r="K76" s="16"/>
      <c r="L76" s="16"/>
      <c r="M76" s="9">
        <f t="shared" si="7"/>
        <v>0</v>
      </c>
      <c r="N76" s="10">
        <f t="shared" si="8"/>
        <v>0</v>
      </c>
      <c r="O76" s="17"/>
      <c r="P76" s="10">
        <f t="shared" si="9"/>
        <v>0</v>
      </c>
      <c r="Q76" s="11">
        <f t="shared" si="10"/>
        <v>0</v>
      </c>
      <c r="R76" s="18">
        <f t="shared" si="11"/>
        <v>1</v>
      </c>
    </row>
    <row r="77" spans="1:18" ht="31.5" customHeight="1" x14ac:dyDescent="0.85">
      <c r="A77" s="12" t="s">
        <v>292</v>
      </c>
      <c r="B77" s="8">
        <f>'[1]Term 3 Summary Sheet'!$B$77</f>
        <v>0</v>
      </c>
      <c r="C77" s="15"/>
      <c r="D77" s="15"/>
      <c r="E77" s="15"/>
      <c r="F77" s="16"/>
      <c r="G77" s="16"/>
      <c r="H77" s="16"/>
      <c r="I77" s="16"/>
      <c r="J77" s="16"/>
      <c r="K77" s="16"/>
      <c r="L77" s="16"/>
      <c r="M77" s="9">
        <f t="shared" si="7"/>
        <v>0</v>
      </c>
      <c r="N77" s="10">
        <f t="shared" si="8"/>
        <v>0</v>
      </c>
      <c r="O77" s="17"/>
      <c r="P77" s="10">
        <f t="shared" si="9"/>
        <v>0</v>
      </c>
      <c r="Q77" s="11">
        <f t="shared" si="10"/>
        <v>0</v>
      </c>
      <c r="R77" s="18">
        <f t="shared" si="11"/>
        <v>1</v>
      </c>
    </row>
    <row r="78" spans="1:18" ht="31.5" customHeight="1" x14ac:dyDescent="0.85">
      <c r="A78" s="12" t="s">
        <v>293</v>
      </c>
      <c r="B78" s="8">
        <f>'[1]Term 3 Summary Sheet'!$B$78</f>
        <v>0</v>
      </c>
      <c r="C78" s="15"/>
      <c r="D78" s="15"/>
      <c r="E78" s="15"/>
      <c r="F78" s="16"/>
      <c r="G78" s="16"/>
      <c r="H78" s="16"/>
      <c r="I78" s="16"/>
      <c r="J78" s="16"/>
      <c r="K78" s="16"/>
      <c r="L78" s="16"/>
      <c r="M78" s="9">
        <f t="shared" si="7"/>
        <v>0</v>
      </c>
      <c r="N78" s="10">
        <f t="shared" si="8"/>
        <v>0</v>
      </c>
      <c r="O78" s="17"/>
      <c r="P78" s="10">
        <f t="shared" si="9"/>
        <v>0</v>
      </c>
      <c r="Q78" s="11">
        <f t="shared" si="10"/>
        <v>0</v>
      </c>
      <c r="R78" s="18">
        <f t="shared" si="11"/>
        <v>1</v>
      </c>
    </row>
    <row r="79" spans="1:18" ht="31.5" customHeight="1" x14ac:dyDescent="0.85">
      <c r="A79" s="12" t="s">
        <v>294</v>
      </c>
      <c r="B79" s="8">
        <f>'[1]Term 3 Summary Sheet'!$B$79</f>
        <v>0</v>
      </c>
      <c r="C79" s="15"/>
      <c r="D79" s="15"/>
      <c r="E79" s="15"/>
      <c r="F79" s="16"/>
      <c r="G79" s="16"/>
      <c r="H79" s="16"/>
      <c r="I79" s="16"/>
      <c r="J79" s="16"/>
      <c r="K79" s="16"/>
      <c r="L79" s="16"/>
      <c r="M79" s="9">
        <f t="shared" si="7"/>
        <v>0</v>
      </c>
      <c r="N79" s="10">
        <f t="shared" si="8"/>
        <v>0</v>
      </c>
      <c r="O79" s="17"/>
      <c r="P79" s="10">
        <f t="shared" si="9"/>
        <v>0</v>
      </c>
      <c r="Q79" s="11">
        <f t="shared" si="10"/>
        <v>0</v>
      </c>
      <c r="R79" s="18">
        <f t="shared" si="11"/>
        <v>1</v>
      </c>
    </row>
    <row r="80" spans="1:18" ht="31.5" customHeight="1" x14ac:dyDescent="0.85">
      <c r="A80" s="12" t="s">
        <v>295</v>
      </c>
      <c r="B80" s="8">
        <f>'[1]Term 3 Summary Sheet'!$B$80</f>
        <v>0</v>
      </c>
      <c r="C80" s="15"/>
      <c r="D80" s="15"/>
      <c r="E80" s="15"/>
      <c r="F80" s="16"/>
      <c r="G80" s="16"/>
      <c r="H80" s="16"/>
      <c r="I80" s="16"/>
      <c r="J80" s="16"/>
      <c r="K80" s="16"/>
      <c r="L80" s="16"/>
      <c r="M80" s="9">
        <f t="shared" si="7"/>
        <v>0</v>
      </c>
      <c r="N80" s="10">
        <f t="shared" si="8"/>
        <v>0</v>
      </c>
      <c r="O80" s="17"/>
      <c r="P80" s="10">
        <f t="shared" si="9"/>
        <v>0</v>
      </c>
      <c r="Q80" s="11">
        <f t="shared" si="10"/>
        <v>0</v>
      </c>
      <c r="R80" s="18">
        <f t="shared" si="11"/>
        <v>1</v>
      </c>
    </row>
    <row r="81" spans="1:18" ht="31.5" customHeight="1" x14ac:dyDescent="0.85">
      <c r="A81" s="12" t="s">
        <v>296</v>
      </c>
      <c r="B81" s="8">
        <f>'[1]Term 3 Summary Sheet'!$B$81</f>
        <v>0</v>
      </c>
      <c r="C81" s="15"/>
      <c r="D81" s="15"/>
      <c r="E81" s="15"/>
      <c r="F81" s="16"/>
      <c r="G81" s="16"/>
      <c r="H81" s="16"/>
      <c r="I81" s="16"/>
      <c r="J81" s="16"/>
      <c r="K81" s="16"/>
      <c r="L81" s="16"/>
      <c r="M81" s="9">
        <f t="shared" si="7"/>
        <v>0</v>
      </c>
      <c r="N81" s="10">
        <f t="shared" si="8"/>
        <v>0</v>
      </c>
      <c r="O81" s="17"/>
      <c r="P81" s="10">
        <f t="shared" si="9"/>
        <v>0</v>
      </c>
      <c r="Q81" s="11">
        <f t="shared" si="10"/>
        <v>0</v>
      </c>
      <c r="R81" s="18">
        <f t="shared" si="11"/>
        <v>1</v>
      </c>
    </row>
    <row r="82" spans="1:18" ht="31.5" customHeight="1" x14ac:dyDescent="0.85">
      <c r="A82" s="12" t="s">
        <v>297</v>
      </c>
      <c r="B82" s="8">
        <f>'[1]Term 3 Summary Sheet'!$B$82</f>
        <v>0</v>
      </c>
      <c r="C82" s="15"/>
      <c r="D82" s="15"/>
      <c r="E82" s="15"/>
      <c r="F82" s="16"/>
      <c r="G82" s="16"/>
      <c r="H82" s="16"/>
      <c r="I82" s="16"/>
      <c r="J82" s="16"/>
      <c r="K82" s="16"/>
      <c r="L82" s="16"/>
      <c r="M82" s="9">
        <f t="shared" si="7"/>
        <v>0</v>
      </c>
      <c r="N82" s="10">
        <f t="shared" si="8"/>
        <v>0</v>
      </c>
      <c r="O82" s="17"/>
      <c r="P82" s="10">
        <f t="shared" si="9"/>
        <v>0</v>
      </c>
      <c r="Q82" s="11">
        <f t="shared" si="10"/>
        <v>0</v>
      </c>
      <c r="R82" s="18">
        <f t="shared" si="11"/>
        <v>1</v>
      </c>
    </row>
    <row r="83" spans="1:18" ht="31.5" customHeight="1" x14ac:dyDescent="0.85">
      <c r="A83" s="12" t="s">
        <v>298</v>
      </c>
      <c r="B83" s="8">
        <f>'[1]Term 3 Summary Sheet'!$B$83</f>
        <v>0</v>
      </c>
      <c r="C83" s="15"/>
      <c r="D83" s="15"/>
      <c r="E83" s="15"/>
      <c r="F83" s="16"/>
      <c r="G83" s="16"/>
      <c r="H83" s="16"/>
      <c r="I83" s="16"/>
      <c r="J83" s="16"/>
      <c r="K83" s="16"/>
      <c r="L83" s="16"/>
      <c r="M83" s="9">
        <f t="shared" si="7"/>
        <v>0</v>
      </c>
      <c r="N83" s="10">
        <f t="shared" si="8"/>
        <v>0</v>
      </c>
      <c r="O83" s="17"/>
      <c r="P83" s="10">
        <f t="shared" si="9"/>
        <v>0</v>
      </c>
      <c r="Q83" s="11">
        <f t="shared" si="10"/>
        <v>0</v>
      </c>
      <c r="R83" s="18">
        <f t="shared" si="11"/>
        <v>1</v>
      </c>
    </row>
    <row r="84" spans="1:18" ht="31.5" customHeight="1" x14ac:dyDescent="0.85">
      <c r="A84" s="12" t="s">
        <v>299</v>
      </c>
      <c r="B84" s="8">
        <f>'[1]Term 3 Summary Sheet'!$B$84</f>
        <v>0</v>
      </c>
      <c r="C84" s="15"/>
      <c r="D84" s="15"/>
      <c r="E84" s="15"/>
      <c r="F84" s="16"/>
      <c r="G84" s="16"/>
      <c r="H84" s="16"/>
      <c r="I84" s="16"/>
      <c r="J84" s="16"/>
      <c r="K84" s="16"/>
      <c r="L84" s="16"/>
      <c r="M84" s="9">
        <f t="shared" si="7"/>
        <v>0</v>
      </c>
      <c r="N84" s="10">
        <f t="shared" si="8"/>
        <v>0</v>
      </c>
      <c r="O84" s="17"/>
      <c r="P84" s="10">
        <f t="shared" si="9"/>
        <v>0</v>
      </c>
      <c r="Q84" s="11">
        <f t="shared" si="10"/>
        <v>0</v>
      </c>
      <c r="R84" s="18">
        <f t="shared" si="11"/>
        <v>1</v>
      </c>
    </row>
    <row r="85" spans="1:18" ht="31.5" customHeight="1" x14ac:dyDescent="0.85">
      <c r="A85" s="12" t="s">
        <v>300</v>
      </c>
      <c r="B85" s="8">
        <f>'[1]Term 3 Summary Sheet'!$B$85</f>
        <v>0</v>
      </c>
      <c r="C85" s="15"/>
      <c r="D85" s="15"/>
      <c r="E85" s="15"/>
      <c r="F85" s="16"/>
      <c r="G85" s="16"/>
      <c r="H85" s="16"/>
      <c r="I85" s="16"/>
      <c r="J85" s="16"/>
      <c r="K85" s="16"/>
      <c r="L85" s="16"/>
      <c r="M85" s="9">
        <f t="shared" si="7"/>
        <v>0</v>
      </c>
      <c r="N85" s="10">
        <f t="shared" si="8"/>
        <v>0</v>
      </c>
      <c r="O85" s="17"/>
      <c r="P85" s="10">
        <f t="shared" si="9"/>
        <v>0</v>
      </c>
      <c r="Q85" s="11">
        <f t="shared" si="10"/>
        <v>0</v>
      </c>
      <c r="R85" s="18">
        <f t="shared" si="11"/>
        <v>1</v>
      </c>
    </row>
    <row r="86" spans="1:18" ht="31.5" customHeight="1" x14ac:dyDescent="0.85">
      <c r="A86" s="12" t="s">
        <v>301</v>
      </c>
      <c r="B86" s="8">
        <f>'[1]Term 3 Summary Sheet'!$B$86</f>
        <v>0</v>
      </c>
      <c r="C86" s="15"/>
      <c r="D86" s="15"/>
      <c r="E86" s="15"/>
      <c r="F86" s="16"/>
      <c r="G86" s="16"/>
      <c r="H86" s="16"/>
      <c r="I86" s="16"/>
      <c r="J86" s="16"/>
      <c r="K86" s="16"/>
      <c r="L86" s="16"/>
      <c r="M86" s="9">
        <f t="shared" si="7"/>
        <v>0</v>
      </c>
      <c r="N86" s="10">
        <f t="shared" si="8"/>
        <v>0</v>
      </c>
      <c r="O86" s="17"/>
      <c r="P86" s="10">
        <f t="shared" si="9"/>
        <v>0</v>
      </c>
      <c r="Q86" s="11">
        <f t="shared" si="10"/>
        <v>0</v>
      </c>
      <c r="R86" s="18">
        <f t="shared" si="11"/>
        <v>1</v>
      </c>
    </row>
    <row r="87" spans="1:18" ht="31.5" customHeight="1" x14ac:dyDescent="0.85">
      <c r="A87" s="12" t="s">
        <v>302</v>
      </c>
      <c r="B87" s="8">
        <f>'[1]Term 3 Summary Sheet'!$B$87</f>
        <v>0</v>
      </c>
      <c r="C87" s="15"/>
      <c r="D87" s="15"/>
      <c r="E87" s="15"/>
      <c r="F87" s="16"/>
      <c r="G87" s="16"/>
      <c r="H87" s="16"/>
      <c r="I87" s="16"/>
      <c r="J87" s="16"/>
      <c r="K87" s="16"/>
      <c r="L87" s="16"/>
      <c r="M87" s="9">
        <f t="shared" si="7"/>
        <v>0</v>
      </c>
      <c r="N87" s="10">
        <f t="shared" si="8"/>
        <v>0</v>
      </c>
      <c r="O87" s="17"/>
      <c r="P87" s="10">
        <f t="shared" si="9"/>
        <v>0</v>
      </c>
      <c r="Q87" s="11">
        <f t="shared" si="10"/>
        <v>0</v>
      </c>
      <c r="R87" s="18">
        <f t="shared" si="11"/>
        <v>1</v>
      </c>
    </row>
    <row r="88" spans="1:18" ht="31.5" customHeight="1" x14ac:dyDescent="0.85">
      <c r="A88" s="12" t="s">
        <v>303</v>
      </c>
      <c r="B88" s="8">
        <f>'[1]Term 3 Summary Sheet'!$B$88</f>
        <v>0</v>
      </c>
      <c r="C88" s="15"/>
      <c r="D88" s="15"/>
      <c r="E88" s="15"/>
      <c r="F88" s="16"/>
      <c r="G88" s="16"/>
      <c r="H88" s="16"/>
      <c r="I88" s="16"/>
      <c r="J88" s="16"/>
      <c r="K88" s="16"/>
      <c r="L88" s="16"/>
      <c r="M88" s="9">
        <f t="shared" si="7"/>
        <v>0</v>
      </c>
      <c r="N88" s="10">
        <f t="shared" si="8"/>
        <v>0</v>
      </c>
      <c r="O88" s="17"/>
      <c r="P88" s="10">
        <f t="shared" si="9"/>
        <v>0</v>
      </c>
      <c r="Q88" s="11">
        <f t="shared" si="10"/>
        <v>0</v>
      </c>
      <c r="R88" s="18">
        <f t="shared" si="11"/>
        <v>1</v>
      </c>
    </row>
    <row r="89" spans="1:18" ht="31.5" customHeight="1" x14ac:dyDescent="0.85">
      <c r="A89" s="12" t="s">
        <v>304</v>
      </c>
      <c r="B89" s="8">
        <f>'[1]Term 3 Summary Sheet'!$B$89</f>
        <v>0</v>
      </c>
      <c r="C89" s="15"/>
      <c r="D89" s="15"/>
      <c r="E89" s="15"/>
      <c r="F89" s="16"/>
      <c r="G89" s="16"/>
      <c r="H89" s="16"/>
      <c r="I89" s="16"/>
      <c r="J89" s="16"/>
      <c r="K89" s="16"/>
      <c r="L89" s="16"/>
      <c r="M89" s="9">
        <f t="shared" si="7"/>
        <v>0</v>
      </c>
      <c r="N89" s="10">
        <f t="shared" si="8"/>
        <v>0</v>
      </c>
      <c r="O89" s="17"/>
      <c r="P89" s="10">
        <f t="shared" si="9"/>
        <v>0</v>
      </c>
      <c r="Q89" s="11">
        <f t="shared" si="10"/>
        <v>0</v>
      </c>
      <c r="R89" s="18">
        <f t="shared" si="11"/>
        <v>1</v>
      </c>
    </row>
    <row r="90" spans="1:18" ht="31.5" customHeight="1" x14ac:dyDescent="0.85">
      <c r="A90" s="12" t="s">
        <v>305</v>
      </c>
      <c r="B90" s="8">
        <f>'[1]Term 3 Summary Sheet'!$B$90</f>
        <v>0</v>
      </c>
      <c r="C90" s="15"/>
      <c r="D90" s="15"/>
      <c r="E90" s="15"/>
      <c r="F90" s="16"/>
      <c r="G90" s="16"/>
      <c r="H90" s="16"/>
      <c r="I90" s="16"/>
      <c r="J90" s="16"/>
      <c r="K90" s="16"/>
      <c r="L90" s="16"/>
      <c r="M90" s="9">
        <f t="shared" si="7"/>
        <v>0</v>
      </c>
      <c r="N90" s="10">
        <f t="shared" si="8"/>
        <v>0</v>
      </c>
      <c r="O90" s="17"/>
      <c r="P90" s="10">
        <f t="shared" si="9"/>
        <v>0</v>
      </c>
      <c r="Q90" s="11">
        <f t="shared" si="10"/>
        <v>0</v>
      </c>
      <c r="R90" s="18">
        <f t="shared" si="11"/>
        <v>1</v>
      </c>
    </row>
    <row r="91" spans="1:18" ht="31.5" customHeight="1" x14ac:dyDescent="0.85">
      <c r="A91" s="12" t="s">
        <v>306</v>
      </c>
      <c r="B91" s="8">
        <f>'[1]Term 3 Summary Sheet'!$B$91</f>
        <v>0</v>
      </c>
      <c r="C91" s="15"/>
      <c r="D91" s="15"/>
      <c r="E91" s="15"/>
      <c r="F91" s="16"/>
      <c r="G91" s="16"/>
      <c r="H91" s="16"/>
      <c r="I91" s="16"/>
      <c r="J91" s="16"/>
      <c r="K91" s="16"/>
      <c r="L91" s="16"/>
      <c r="M91" s="9">
        <f t="shared" si="7"/>
        <v>0</v>
      </c>
      <c r="N91" s="10">
        <f t="shared" si="8"/>
        <v>0</v>
      </c>
      <c r="O91" s="17"/>
      <c r="P91" s="10">
        <f t="shared" si="9"/>
        <v>0</v>
      </c>
      <c r="Q91" s="11">
        <f t="shared" si="10"/>
        <v>0</v>
      </c>
      <c r="R91" s="18">
        <f t="shared" si="11"/>
        <v>1</v>
      </c>
    </row>
    <row r="92" spans="1:18" ht="31.5" customHeight="1" x14ac:dyDescent="0.85">
      <c r="A92" s="12" t="s">
        <v>307</v>
      </c>
      <c r="B92" s="8">
        <f>'[1]Term 3 Summary Sheet'!$B$92</f>
        <v>0</v>
      </c>
      <c r="C92" s="15"/>
      <c r="D92" s="15"/>
      <c r="E92" s="15"/>
      <c r="F92" s="16"/>
      <c r="G92" s="16"/>
      <c r="H92" s="16"/>
      <c r="I92" s="16"/>
      <c r="J92" s="16"/>
      <c r="K92" s="16"/>
      <c r="L92" s="16"/>
      <c r="M92" s="9">
        <f t="shared" si="7"/>
        <v>0</v>
      </c>
      <c r="N92" s="10">
        <f t="shared" si="8"/>
        <v>0</v>
      </c>
      <c r="O92" s="17"/>
      <c r="P92" s="10">
        <f t="shared" si="9"/>
        <v>0</v>
      </c>
      <c r="Q92" s="11">
        <f t="shared" si="10"/>
        <v>0</v>
      </c>
      <c r="R92" s="18">
        <f t="shared" si="11"/>
        <v>1</v>
      </c>
    </row>
    <row r="93" spans="1:18" ht="31.5" customHeight="1" x14ac:dyDescent="0.85">
      <c r="A93" s="12" t="s">
        <v>308</v>
      </c>
      <c r="B93" s="8">
        <f>'[1]Term 3 Summary Sheet'!$B$93</f>
        <v>0</v>
      </c>
      <c r="C93" s="15"/>
      <c r="D93" s="15"/>
      <c r="E93" s="15"/>
      <c r="F93" s="16"/>
      <c r="G93" s="16"/>
      <c r="H93" s="16"/>
      <c r="I93" s="16"/>
      <c r="J93" s="16"/>
      <c r="K93" s="16"/>
      <c r="L93" s="16"/>
      <c r="M93" s="9">
        <f t="shared" si="7"/>
        <v>0</v>
      </c>
      <c r="N93" s="10">
        <f t="shared" si="8"/>
        <v>0</v>
      </c>
      <c r="O93" s="17"/>
      <c r="P93" s="10">
        <f t="shared" si="9"/>
        <v>0</v>
      </c>
      <c r="Q93" s="11">
        <f t="shared" si="10"/>
        <v>0</v>
      </c>
      <c r="R93" s="18">
        <f t="shared" si="11"/>
        <v>1</v>
      </c>
    </row>
    <row r="94" spans="1:18" ht="31.5" customHeight="1" x14ac:dyDescent="0.85">
      <c r="A94" s="12" t="s">
        <v>309</v>
      </c>
      <c r="B94" s="8">
        <f>'[1]Term 3 Summary Sheet'!$B$94</f>
        <v>0</v>
      </c>
      <c r="C94" s="15"/>
      <c r="D94" s="15"/>
      <c r="E94" s="15"/>
      <c r="F94" s="16"/>
      <c r="G94" s="16"/>
      <c r="H94" s="16"/>
      <c r="I94" s="16"/>
      <c r="J94" s="16"/>
      <c r="K94" s="16"/>
      <c r="L94" s="16"/>
      <c r="M94" s="9">
        <f t="shared" si="7"/>
        <v>0</v>
      </c>
      <c r="N94" s="10">
        <f t="shared" si="8"/>
        <v>0</v>
      </c>
      <c r="O94" s="17"/>
      <c r="P94" s="10">
        <f t="shared" si="9"/>
        <v>0</v>
      </c>
      <c r="Q94" s="11">
        <f t="shared" si="10"/>
        <v>0</v>
      </c>
      <c r="R94" s="18">
        <f t="shared" si="11"/>
        <v>1</v>
      </c>
    </row>
    <row r="95" spans="1:18" ht="31.5" customHeight="1" x14ac:dyDescent="0.85">
      <c r="A95" s="12" t="s">
        <v>310</v>
      </c>
      <c r="B95" s="8">
        <f>'[1]Term 3 Summary Sheet'!$B$95</f>
        <v>0</v>
      </c>
      <c r="C95" s="15"/>
      <c r="D95" s="15"/>
      <c r="E95" s="15"/>
      <c r="F95" s="16"/>
      <c r="G95" s="16"/>
      <c r="H95" s="16"/>
      <c r="I95" s="16"/>
      <c r="J95" s="16"/>
      <c r="K95" s="16"/>
      <c r="L95" s="16"/>
      <c r="M95" s="9">
        <f t="shared" si="7"/>
        <v>0</v>
      </c>
      <c r="N95" s="10">
        <f t="shared" si="8"/>
        <v>0</v>
      </c>
      <c r="O95" s="17"/>
      <c r="P95" s="10">
        <f t="shared" si="9"/>
        <v>0</v>
      </c>
      <c r="Q95" s="11">
        <f t="shared" si="10"/>
        <v>0</v>
      </c>
      <c r="R95" s="18">
        <f t="shared" si="11"/>
        <v>1</v>
      </c>
    </row>
    <row r="96" spans="1:18" ht="31.5" customHeight="1" x14ac:dyDescent="0.85">
      <c r="A96" s="12" t="s">
        <v>311</v>
      </c>
      <c r="B96" s="8">
        <f>'[1]Term 3 Summary Sheet'!$B$96</f>
        <v>0</v>
      </c>
      <c r="C96" s="15"/>
      <c r="D96" s="15"/>
      <c r="E96" s="15"/>
      <c r="F96" s="16"/>
      <c r="G96" s="16"/>
      <c r="H96" s="16"/>
      <c r="I96" s="16"/>
      <c r="J96" s="16"/>
      <c r="K96" s="16"/>
      <c r="L96" s="16"/>
      <c r="M96" s="9">
        <f t="shared" si="7"/>
        <v>0</v>
      </c>
      <c r="N96" s="10">
        <f t="shared" si="8"/>
        <v>0</v>
      </c>
      <c r="O96" s="17"/>
      <c r="P96" s="10">
        <f t="shared" si="9"/>
        <v>0</v>
      </c>
      <c r="Q96" s="11">
        <f t="shared" si="10"/>
        <v>0</v>
      </c>
      <c r="R96" s="18">
        <f t="shared" si="11"/>
        <v>1</v>
      </c>
    </row>
    <row r="97" spans="1:18" ht="31.5" customHeight="1" x14ac:dyDescent="0.85">
      <c r="A97" s="12" t="s">
        <v>312</v>
      </c>
      <c r="B97" s="8">
        <f>'[1]Term 3 Summary Sheet'!$B$97</f>
        <v>0</v>
      </c>
      <c r="C97" s="15"/>
      <c r="D97" s="15"/>
      <c r="E97" s="15"/>
      <c r="F97" s="16"/>
      <c r="G97" s="16"/>
      <c r="H97" s="16"/>
      <c r="I97" s="16"/>
      <c r="J97" s="16"/>
      <c r="K97" s="16"/>
      <c r="L97" s="16"/>
      <c r="M97" s="9">
        <f t="shared" si="7"/>
        <v>0</v>
      </c>
      <c r="N97" s="10">
        <f t="shared" si="8"/>
        <v>0</v>
      </c>
      <c r="O97" s="17"/>
      <c r="P97" s="10">
        <f t="shared" si="9"/>
        <v>0</v>
      </c>
      <c r="Q97" s="11">
        <f t="shared" si="10"/>
        <v>0</v>
      </c>
      <c r="R97" s="18">
        <f t="shared" si="11"/>
        <v>1</v>
      </c>
    </row>
    <row r="98" spans="1:18" ht="31.5" customHeight="1" x14ac:dyDescent="0.85">
      <c r="A98" s="12" t="s">
        <v>313</v>
      </c>
      <c r="B98" s="8">
        <f>'[1]Term 3 Summary Sheet'!$B$98</f>
        <v>0</v>
      </c>
      <c r="C98" s="15"/>
      <c r="D98" s="15"/>
      <c r="E98" s="15"/>
      <c r="F98" s="16"/>
      <c r="G98" s="16"/>
      <c r="H98" s="16"/>
      <c r="I98" s="16"/>
      <c r="J98" s="16"/>
      <c r="K98" s="16"/>
      <c r="L98" s="16"/>
      <c r="M98" s="9">
        <f t="shared" si="7"/>
        <v>0</v>
      </c>
      <c r="N98" s="10">
        <f t="shared" si="8"/>
        <v>0</v>
      </c>
      <c r="O98" s="17"/>
      <c r="P98" s="10">
        <f t="shared" si="9"/>
        <v>0</v>
      </c>
      <c r="Q98" s="11">
        <f t="shared" si="10"/>
        <v>0</v>
      </c>
      <c r="R98" s="18">
        <f t="shared" si="11"/>
        <v>1</v>
      </c>
    </row>
    <row r="99" spans="1:18" ht="31.5" customHeight="1" x14ac:dyDescent="0.85">
      <c r="A99" s="12" t="s">
        <v>314</v>
      </c>
      <c r="B99" s="8">
        <f>'[1]Term 3 Summary Sheet'!$B$99</f>
        <v>0</v>
      </c>
      <c r="C99" s="15"/>
      <c r="D99" s="15"/>
      <c r="E99" s="15"/>
      <c r="F99" s="16"/>
      <c r="G99" s="16"/>
      <c r="H99" s="16"/>
      <c r="I99" s="16"/>
      <c r="J99" s="16"/>
      <c r="K99" s="16"/>
      <c r="L99" s="16"/>
      <c r="M99" s="9">
        <f t="shared" si="7"/>
        <v>0</v>
      </c>
      <c r="N99" s="10">
        <f t="shared" si="8"/>
        <v>0</v>
      </c>
      <c r="O99" s="17"/>
      <c r="P99" s="10">
        <f t="shared" si="9"/>
        <v>0</v>
      </c>
      <c r="Q99" s="11">
        <f t="shared" si="10"/>
        <v>0</v>
      </c>
      <c r="R99" s="18">
        <f t="shared" si="11"/>
        <v>1</v>
      </c>
    </row>
    <row r="100" spans="1:18" ht="31.5" customHeight="1" x14ac:dyDescent="0.85">
      <c r="A100" s="12" t="s">
        <v>315</v>
      </c>
      <c r="B100" s="8">
        <f>'[1]Term 3 Summary Sheet'!$B$100</f>
        <v>0</v>
      </c>
      <c r="C100" s="15"/>
      <c r="D100" s="15"/>
      <c r="E100" s="15"/>
      <c r="F100" s="16"/>
      <c r="G100" s="16"/>
      <c r="H100" s="16"/>
      <c r="I100" s="16"/>
      <c r="J100" s="16"/>
      <c r="K100" s="16"/>
      <c r="L100" s="16"/>
      <c r="M100" s="9">
        <f t="shared" ref="M100:M131" si="12">SUM(C100:L100)</f>
        <v>0</v>
      </c>
      <c r="N100" s="10">
        <f t="shared" ref="N100:N104" si="13">M100/100 *50</f>
        <v>0</v>
      </c>
      <c r="O100" s="17"/>
      <c r="P100" s="10">
        <f t="shared" si="9"/>
        <v>0</v>
      </c>
      <c r="Q100" s="11">
        <f t="shared" si="10"/>
        <v>0</v>
      </c>
      <c r="R100" s="18">
        <f t="shared" si="11"/>
        <v>1</v>
      </c>
    </row>
    <row r="101" spans="1:18" ht="31.5" customHeight="1" x14ac:dyDescent="0.85">
      <c r="A101" s="12" t="s">
        <v>316</v>
      </c>
      <c r="B101" s="8">
        <f>'[1]Term 3 Summary Sheet'!$B$101</f>
        <v>0</v>
      </c>
      <c r="C101" s="15"/>
      <c r="D101" s="15"/>
      <c r="E101" s="15"/>
      <c r="F101" s="16"/>
      <c r="G101" s="16"/>
      <c r="H101" s="16"/>
      <c r="I101" s="16"/>
      <c r="J101" s="16"/>
      <c r="K101" s="16"/>
      <c r="L101" s="16"/>
      <c r="M101" s="9">
        <f t="shared" si="12"/>
        <v>0</v>
      </c>
      <c r="N101" s="10">
        <f t="shared" si="13"/>
        <v>0</v>
      </c>
      <c r="O101" s="17"/>
      <c r="P101" s="10">
        <f t="shared" si="9"/>
        <v>0</v>
      </c>
      <c r="Q101" s="11">
        <f t="shared" si="10"/>
        <v>0</v>
      </c>
      <c r="R101" s="18">
        <f t="shared" si="11"/>
        <v>1</v>
      </c>
    </row>
    <row r="102" spans="1:18" ht="31.5" customHeight="1" x14ac:dyDescent="0.85">
      <c r="A102" s="12" t="s">
        <v>317</v>
      </c>
      <c r="B102" s="8">
        <f>'[1]Term 3 Summary Sheet'!$B$102</f>
        <v>0</v>
      </c>
      <c r="C102" s="15"/>
      <c r="D102" s="15"/>
      <c r="E102" s="15"/>
      <c r="F102" s="16"/>
      <c r="G102" s="16"/>
      <c r="H102" s="16"/>
      <c r="I102" s="16"/>
      <c r="J102" s="16"/>
      <c r="K102" s="16"/>
      <c r="L102" s="16"/>
      <c r="M102" s="9">
        <f t="shared" si="12"/>
        <v>0</v>
      </c>
      <c r="N102" s="10">
        <f t="shared" si="13"/>
        <v>0</v>
      </c>
      <c r="O102" s="17"/>
      <c r="P102" s="10">
        <f t="shared" si="9"/>
        <v>0</v>
      </c>
      <c r="Q102" s="11">
        <f t="shared" si="10"/>
        <v>0</v>
      </c>
      <c r="R102" s="18">
        <f t="shared" si="11"/>
        <v>1</v>
      </c>
    </row>
    <row r="103" spans="1:18" ht="31.5" customHeight="1" x14ac:dyDescent="0.85">
      <c r="A103" s="12" t="s">
        <v>318</v>
      </c>
      <c r="B103" s="8">
        <f>'[1]Term 3 Summary Sheet'!$B$103</f>
        <v>0</v>
      </c>
      <c r="C103" s="15"/>
      <c r="D103" s="15"/>
      <c r="E103" s="15"/>
      <c r="F103" s="16"/>
      <c r="G103" s="16"/>
      <c r="H103" s="16"/>
      <c r="I103" s="16"/>
      <c r="J103" s="16"/>
      <c r="K103" s="16"/>
      <c r="L103" s="16"/>
      <c r="M103" s="9">
        <f t="shared" si="12"/>
        <v>0</v>
      </c>
      <c r="N103" s="10">
        <f t="shared" si="13"/>
        <v>0</v>
      </c>
      <c r="O103" s="17"/>
      <c r="P103" s="10">
        <f t="shared" si="9"/>
        <v>0</v>
      </c>
      <c r="Q103" s="11">
        <f t="shared" si="10"/>
        <v>0</v>
      </c>
      <c r="R103" s="18">
        <f t="shared" si="11"/>
        <v>1</v>
      </c>
    </row>
    <row r="104" spans="1:18" ht="31.5" customHeight="1" x14ac:dyDescent="0.85">
      <c r="A104" s="12" t="s">
        <v>319</v>
      </c>
      <c r="B104" s="8">
        <f>'[1]Term 3 Summary Sheet'!$B$104</f>
        <v>0</v>
      </c>
      <c r="C104" s="19"/>
      <c r="D104" s="19"/>
      <c r="E104" s="19"/>
      <c r="F104" s="20"/>
      <c r="G104" s="20"/>
      <c r="H104" s="20"/>
      <c r="I104" s="20"/>
      <c r="J104" s="20"/>
      <c r="K104" s="20"/>
      <c r="L104" s="20"/>
      <c r="M104" s="9">
        <f t="shared" si="12"/>
        <v>0</v>
      </c>
      <c r="N104" s="10">
        <f t="shared" si="13"/>
        <v>0</v>
      </c>
      <c r="O104" s="21"/>
      <c r="P104" s="22">
        <f t="shared" si="9"/>
        <v>0</v>
      </c>
      <c r="Q104" s="11">
        <f t="shared" si="10"/>
        <v>0</v>
      </c>
      <c r="R104" s="18">
        <f t="shared" si="11"/>
        <v>1</v>
      </c>
    </row>
    <row r="105" spans="1:18" ht="20.399999999999999" x14ac:dyDescent="0.7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 spans="1:18" ht="20.399999999999999" x14ac:dyDescent="0.7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</row>
    <row r="107" spans="1:18" ht="20.399999999999999" x14ac:dyDescent="0.7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8" ht="20.399999999999999" x14ac:dyDescent="0.7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</row>
  </sheetData>
  <sheetProtection algorithmName="SHA-512" hashValue="+so1lKTupjJNsyCv8eQ6kTrU1r3oVikLyHrkAgxUUr+tSJCccXZ0PH8KxhRt6VmAKkwGF1wsf/Gf8LaSWzeSfw==" saltValue="cIKwMn4R4D6QXbCgwgXEVw==" spinCount="100000" sheet="1" objects="1" scenarios="1" selectLockedCells="1" sort="0" autoFilter="0"/>
  <mergeCells count="1">
    <mergeCell ref="A1:R1"/>
  </mergeCells>
  <phoneticPr fontId="12" type="noConversion"/>
  <dataValidations count="2">
    <dataValidation type="decimal" allowBlank="1" showInputMessage="1" showErrorMessage="1" sqref="C5:L104" xr:uid="{AA26B69D-28E7-40DE-AD8B-EB678BB130C1}">
      <formula1>0</formula1>
      <formula2>10</formula2>
    </dataValidation>
    <dataValidation type="decimal" allowBlank="1" showInputMessage="1" showErrorMessage="1" sqref="O5:O104" xr:uid="{5D270EE0-C402-401A-BCDB-480FAFDC4233}">
      <formula1>0</formula1>
      <formula2>100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Term 1</vt:lpstr>
      <vt:lpstr>Term 2</vt:lpstr>
      <vt:lpstr>Term 3</vt:lpstr>
    </vt:vector>
  </TitlesOfParts>
  <Manager>KraftBench IT</Manager>
  <Company>KraftBench IT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KXL GBooks</dc:title>
  <dc:subject>GBooks</dc:subject>
  <dc:creator>Fritz Yanney</dc:creator>
  <cp:keywords>KraftBench Devs</cp:keywords>
  <dc:description/>
  <cp:lastModifiedBy>Fritz Yanney</cp:lastModifiedBy>
  <cp:revision/>
  <dcterms:created xsi:type="dcterms:W3CDTF">2022-10-19T22:21:02Z</dcterms:created>
  <dcterms:modified xsi:type="dcterms:W3CDTF">2025-10-23T13:23:32Z</dcterms:modified>
  <cp:category>Education</cp:category>
  <cp:contentStatus>Complete</cp:contentStatus>
</cp:coreProperties>
</file>